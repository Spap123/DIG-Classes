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S WorkFlow\Data Is Good Class Files\Batches\2023-Classes\11th Feb Batch\"/>
    </mc:Choice>
  </mc:AlternateContent>
  <xr:revisionPtr revIDLastSave="0" documentId="13_ncr:1_{2CD2F301-3CD2-491A-83AD-76D6CB460CC2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Macro With Buttons" sheetId="19" r:id="rId1"/>
    <sheet name="Sheet1" sheetId="20" r:id="rId2"/>
    <sheet name="Sheet3" sheetId="22" r:id="rId3"/>
    <sheet name="Sheet2" sheetId="21" r:id="rId4"/>
    <sheet name="Sheet4" sheetId="23" r:id="rId5"/>
    <sheet name="Sheet6" sheetId="25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3" l="1"/>
  <c r="F5" i="23"/>
  <c r="G5" i="23"/>
  <c r="H5" i="23"/>
  <c r="E6" i="23"/>
  <c r="F6" i="23"/>
  <c r="G6" i="23"/>
  <c r="H6" i="23"/>
  <c r="E7" i="23"/>
  <c r="F7" i="23"/>
  <c r="G7" i="23"/>
  <c r="H7" i="23"/>
  <c r="E8" i="23"/>
  <c r="F8" i="23"/>
  <c r="G8" i="23"/>
  <c r="H8" i="23"/>
  <c r="E9" i="23"/>
  <c r="F9" i="23"/>
  <c r="G9" i="23"/>
  <c r="H9" i="23"/>
  <c r="E10" i="23"/>
  <c r="F10" i="23"/>
  <c r="G10" i="23"/>
  <c r="H10" i="23"/>
  <c r="E11" i="23"/>
  <c r="F11" i="23"/>
  <c r="G11" i="23"/>
  <c r="H11" i="23"/>
  <c r="E12" i="23"/>
  <c r="F12" i="23"/>
  <c r="G12" i="23"/>
  <c r="H12" i="23"/>
  <c r="E13" i="23"/>
  <c r="F13" i="23"/>
  <c r="G13" i="23"/>
  <c r="H13" i="23"/>
  <c r="E14" i="23"/>
  <c r="F14" i="23"/>
  <c r="G14" i="23"/>
  <c r="H14" i="23"/>
  <c r="E15" i="23"/>
  <c r="F15" i="23"/>
  <c r="G15" i="23"/>
  <c r="H15" i="23"/>
  <c r="E16" i="23"/>
  <c r="F16" i="23"/>
  <c r="G16" i="23"/>
  <c r="H16" i="23"/>
  <c r="E17" i="23"/>
  <c r="F17" i="23"/>
  <c r="G17" i="23"/>
  <c r="H17" i="23"/>
  <c r="E18" i="23"/>
  <c r="F18" i="23"/>
  <c r="G18" i="23"/>
  <c r="H18" i="23"/>
  <c r="E19" i="23"/>
  <c r="F19" i="23"/>
  <c r="G19" i="23"/>
  <c r="H19" i="23"/>
  <c r="E20" i="23"/>
  <c r="F20" i="23"/>
  <c r="G20" i="23"/>
  <c r="H20" i="23"/>
  <c r="E21" i="23"/>
  <c r="F21" i="23"/>
  <c r="G21" i="23"/>
  <c r="H21" i="23"/>
  <c r="E22" i="23"/>
  <c r="F22" i="23"/>
  <c r="G22" i="23"/>
  <c r="H22" i="23"/>
  <c r="E23" i="23"/>
  <c r="F23" i="23"/>
  <c r="G23" i="23"/>
  <c r="H23" i="23"/>
  <c r="E24" i="23"/>
  <c r="F24" i="23"/>
  <c r="G24" i="23"/>
  <c r="H24" i="23"/>
  <c r="E25" i="23"/>
  <c r="F25" i="23"/>
  <c r="G25" i="23"/>
  <c r="H25" i="23"/>
  <c r="E26" i="23"/>
  <c r="F26" i="23"/>
  <c r="G26" i="23"/>
  <c r="H26" i="23"/>
  <c r="E27" i="23"/>
  <c r="F27" i="23"/>
  <c r="G27" i="23"/>
  <c r="H27" i="23"/>
  <c r="E28" i="23"/>
  <c r="F28" i="23"/>
  <c r="G28" i="23"/>
  <c r="H28" i="23"/>
  <c r="E29" i="23"/>
  <c r="F29" i="23"/>
  <c r="G29" i="23"/>
  <c r="H29" i="23"/>
  <c r="E30" i="23"/>
  <c r="F30" i="23"/>
  <c r="G30" i="23"/>
  <c r="H30" i="23"/>
  <c r="E31" i="23"/>
  <c r="F31" i="23"/>
  <c r="G31" i="23"/>
  <c r="H31" i="23"/>
  <c r="E32" i="23"/>
  <c r="F32" i="23"/>
  <c r="G32" i="23"/>
  <c r="H32" i="23"/>
  <c r="E33" i="23"/>
  <c r="F33" i="23"/>
  <c r="G33" i="23"/>
  <c r="H33" i="23"/>
  <c r="E34" i="23"/>
  <c r="F34" i="23"/>
  <c r="G34" i="23"/>
  <c r="H34" i="23"/>
  <c r="E35" i="23"/>
  <c r="F35" i="23"/>
  <c r="G35" i="23"/>
  <c r="H35" i="23"/>
  <c r="E36" i="23"/>
  <c r="F36" i="23"/>
  <c r="G36" i="23"/>
  <c r="H36" i="23"/>
  <c r="E37" i="23"/>
  <c r="F37" i="23"/>
  <c r="G37" i="23"/>
  <c r="H37" i="23"/>
  <c r="E38" i="23"/>
  <c r="F38" i="23"/>
  <c r="G38" i="23"/>
  <c r="H38" i="23"/>
  <c r="E39" i="23"/>
  <c r="F39" i="23"/>
  <c r="G39" i="23"/>
  <c r="H39" i="23"/>
  <c r="E40" i="23"/>
  <c r="F40" i="23"/>
  <c r="G40" i="23"/>
  <c r="H40" i="23"/>
  <c r="E41" i="23"/>
  <c r="F41" i="23"/>
  <c r="G41" i="23"/>
  <c r="H41" i="23"/>
  <c r="E42" i="23"/>
  <c r="F42" i="23"/>
  <c r="G42" i="23"/>
  <c r="H42" i="23"/>
  <c r="E43" i="23"/>
  <c r="F43" i="23"/>
  <c r="G43" i="23"/>
  <c r="H43" i="23"/>
  <c r="E44" i="23"/>
  <c r="F44" i="23"/>
  <c r="G44" i="23"/>
  <c r="H44" i="23"/>
  <c r="E45" i="23"/>
  <c r="F45" i="23"/>
  <c r="G45" i="23"/>
  <c r="H45" i="23"/>
  <c r="E46" i="23"/>
  <c r="F46" i="23"/>
  <c r="G46" i="23"/>
  <c r="H46" i="23"/>
  <c r="E47" i="23"/>
  <c r="F47" i="23"/>
  <c r="G47" i="23"/>
  <c r="H47" i="23"/>
  <c r="E48" i="23"/>
  <c r="F48" i="23"/>
  <c r="G48" i="23"/>
  <c r="H48" i="23"/>
  <c r="E49" i="23"/>
  <c r="F49" i="23"/>
  <c r="G49" i="23"/>
  <c r="H49" i="23"/>
  <c r="E50" i="23"/>
  <c r="F50" i="23"/>
  <c r="G50" i="23"/>
  <c r="H50" i="23"/>
  <c r="E51" i="23"/>
  <c r="F51" i="23"/>
  <c r="G51" i="23"/>
  <c r="H51" i="23"/>
  <c r="E52" i="23"/>
  <c r="F52" i="23"/>
  <c r="G52" i="23"/>
  <c r="H52" i="23"/>
  <c r="E53" i="23"/>
  <c r="F53" i="23"/>
  <c r="G53" i="23"/>
  <c r="H53" i="23"/>
  <c r="E54" i="23"/>
  <c r="F54" i="23"/>
  <c r="G54" i="23"/>
  <c r="H54" i="23"/>
  <c r="E55" i="23"/>
  <c r="F55" i="23"/>
  <c r="G55" i="23"/>
  <c r="H55" i="23"/>
  <c r="E56" i="23"/>
  <c r="F56" i="23"/>
  <c r="G56" i="23"/>
  <c r="H56" i="23"/>
  <c r="E57" i="23"/>
  <c r="F57" i="23"/>
  <c r="G57" i="23"/>
  <c r="H57" i="23"/>
  <c r="E58" i="23"/>
  <c r="F58" i="23"/>
  <c r="G58" i="23"/>
  <c r="H58" i="23"/>
  <c r="E59" i="23"/>
  <c r="F59" i="23"/>
  <c r="G59" i="23"/>
  <c r="H59" i="23"/>
  <c r="E60" i="23"/>
  <c r="F60" i="23"/>
  <c r="G60" i="23"/>
  <c r="H60" i="23"/>
  <c r="E61" i="23"/>
  <c r="F61" i="23"/>
  <c r="G61" i="23"/>
  <c r="H61" i="23"/>
  <c r="E62" i="23"/>
  <c r="F62" i="23"/>
  <c r="G62" i="23"/>
  <c r="H62" i="23"/>
  <c r="E63" i="23"/>
  <c r="F63" i="23"/>
  <c r="G63" i="23"/>
  <c r="H63" i="23"/>
  <c r="E64" i="23"/>
  <c r="F64" i="23"/>
  <c r="G64" i="23"/>
  <c r="H64" i="23"/>
  <c r="E65" i="23"/>
  <c r="F65" i="23"/>
  <c r="G65" i="23"/>
  <c r="H65" i="23"/>
  <c r="E66" i="23"/>
  <c r="F66" i="23"/>
  <c r="G66" i="23"/>
  <c r="H66" i="23"/>
  <c r="E67" i="23"/>
  <c r="F67" i="23"/>
  <c r="G67" i="23"/>
  <c r="H67" i="23"/>
  <c r="E68" i="23"/>
  <c r="F68" i="23"/>
  <c r="G68" i="23"/>
  <c r="H68" i="23"/>
  <c r="E69" i="23"/>
  <c r="F69" i="23"/>
  <c r="G69" i="23"/>
  <c r="H69" i="23"/>
  <c r="E70" i="23"/>
  <c r="F70" i="23"/>
  <c r="G70" i="23"/>
  <c r="H70" i="23"/>
  <c r="E71" i="23"/>
  <c r="F71" i="23"/>
  <c r="G71" i="23"/>
  <c r="H71" i="23"/>
  <c r="E72" i="23"/>
  <c r="F72" i="23"/>
  <c r="G72" i="23"/>
  <c r="H72" i="23"/>
  <c r="E73" i="23"/>
  <c r="F73" i="23"/>
  <c r="G73" i="23"/>
  <c r="H73" i="23"/>
  <c r="E74" i="23"/>
  <c r="F74" i="23"/>
  <c r="G74" i="23"/>
  <c r="H74" i="23"/>
  <c r="E75" i="23"/>
  <c r="F75" i="23"/>
  <c r="G75" i="23"/>
  <c r="H75" i="23"/>
  <c r="E76" i="23"/>
  <c r="F76" i="23"/>
  <c r="G76" i="23"/>
  <c r="H76" i="23"/>
  <c r="E77" i="23"/>
  <c r="F77" i="23"/>
  <c r="G77" i="23"/>
  <c r="H77" i="23"/>
  <c r="E78" i="23"/>
  <c r="F78" i="23"/>
  <c r="G78" i="23"/>
  <c r="H78" i="23"/>
  <c r="E79" i="23"/>
  <c r="F79" i="23"/>
  <c r="G79" i="23"/>
  <c r="H79" i="23"/>
  <c r="E80" i="23"/>
  <c r="F80" i="23"/>
  <c r="G80" i="23"/>
  <c r="H80" i="23"/>
  <c r="E81" i="23"/>
  <c r="F81" i="23"/>
  <c r="G81" i="23"/>
  <c r="H81" i="23"/>
  <c r="E82" i="23"/>
  <c r="F82" i="23"/>
  <c r="G82" i="23"/>
  <c r="H82" i="23"/>
  <c r="E83" i="23"/>
  <c r="F83" i="23"/>
  <c r="G83" i="23"/>
  <c r="H83" i="23"/>
  <c r="E84" i="23"/>
  <c r="F84" i="23"/>
  <c r="G84" i="23"/>
  <c r="H84" i="23"/>
  <c r="E85" i="23"/>
  <c r="F85" i="23"/>
  <c r="G85" i="23"/>
  <c r="H85" i="23"/>
  <c r="E86" i="23"/>
  <c r="F86" i="23"/>
  <c r="G86" i="23"/>
  <c r="H86" i="23"/>
  <c r="E87" i="23"/>
  <c r="F87" i="23"/>
  <c r="G87" i="23"/>
  <c r="H87" i="23"/>
  <c r="E88" i="23"/>
  <c r="F88" i="23"/>
  <c r="G88" i="23"/>
  <c r="H88" i="23"/>
  <c r="E89" i="23"/>
  <c r="F89" i="23"/>
  <c r="G89" i="23"/>
  <c r="H89" i="23"/>
  <c r="E90" i="23"/>
  <c r="F90" i="23"/>
  <c r="G90" i="23"/>
  <c r="H90" i="23"/>
  <c r="E91" i="23"/>
  <c r="F91" i="23"/>
  <c r="G91" i="23"/>
  <c r="H91" i="23"/>
  <c r="E92" i="23"/>
  <c r="F92" i="23"/>
  <c r="G92" i="23"/>
  <c r="H92" i="23"/>
  <c r="E93" i="23"/>
  <c r="F93" i="23"/>
  <c r="G93" i="23"/>
  <c r="H93" i="23"/>
  <c r="E94" i="23"/>
  <c r="F94" i="23"/>
  <c r="G94" i="23"/>
  <c r="H94" i="23"/>
  <c r="E95" i="23"/>
  <c r="F95" i="23"/>
  <c r="G95" i="23"/>
  <c r="H95" i="23"/>
  <c r="E96" i="23"/>
  <c r="F96" i="23"/>
  <c r="G96" i="23"/>
  <c r="H96" i="23"/>
  <c r="E97" i="23"/>
  <c r="F97" i="23"/>
  <c r="G97" i="23"/>
  <c r="H97" i="23"/>
  <c r="E98" i="23"/>
  <c r="F98" i="23"/>
  <c r="G98" i="23"/>
  <c r="H98" i="23"/>
  <c r="E99" i="23"/>
  <c r="F99" i="23"/>
  <c r="G99" i="23"/>
  <c r="H99" i="23"/>
  <c r="E100" i="23"/>
  <c r="F100" i="23"/>
  <c r="G100" i="23"/>
  <c r="H100" i="23"/>
  <c r="E101" i="23"/>
  <c r="F101" i="23"/>
  <c r="G101" i="23"/>
  <c r="H101" i="23"/>
  <c r="E102" i="23"/>
  <c r="F102" i="23"/>
  <c r="G102" i="23"/>
  <c r="H102" i="23"/>
  <c r="E103" i="23"/>
  <c r="F103" i="23"/>
  <c r="G103" i="23"/>
  <c r="H103" i="23"/>
  <c r="E104" i="23"/>
  <c r="F104" i="23"/>
  <c r="G104" i="23"/>
  <c r="H104" i="23"/>
  <c r="E105" i="23"/>
  <c r="F105" i="23"/>
  <c r="G105" i="23"/>
  <c r="H105" i="23"/>
  <c r="E106" i="23"/>
  <c r="F106" i="23"/>
  <c r="G106" i="23"/>
  <c r="H106" i="23"/>
  <c r="E107" i="23"/>
  <c r="F107" i="23"/>
  <c r="G107" i="23"/>
  <c r="H107" i="23"/>
  <c r="E108" i="23"/>
  <c r="F108" i="23"/>
  <c r="G108" i="23"/>
  <c r="H108" i="23"/>
  <c r="E109" i="23"/>
  <c r="F109" i="23"/>
  <c r="G109" i="23"/>
  <c r="H109" i="23"/>
  <c r="E110" i="23"/>
  <c r="F110" i="23"/>
  <c r="G110" i="23"/>
  <c r="H110" i="23"/>
  <c r="E111" i="23"/>
  <c r="F111" i="23"/>
  <c r="G111" i="23"/>
  <c r="H111" i="23"/>
  <c r="E112" i="23"/>
  <c r="F112" i="23"/>
  <c r="G112" i="23"/>
  <c r="H112" i="23"/>
  <c r="E113" i="23"/>
  <c r="F113" i="23"/>
  <c r="G113" i="23"/>
  <c r="H113" i="23"/>
  <c r="E114" i="23"/>
  <c r="F114" i="23"/>
  <c r="G114" i="23"/>
  <c r="H114" i="23"/>
  <c r="E115" i="23"/>
  <c r="F115" i="23"/>
  <c r="G115" i="23"/>
  <c r="H115" i="23"/>
  <c r="E116" i="23"/>
  <c r="F116" i="23"/>
  <c r="G116" i="23"/>
  <c r="H116" i="23"/>
  <c r="E117" i="23"/>
  <c r="F117" i="23"/>
  <c r="G117" i="23"/>
  <c r="H117" i="23"/>
  <c r="E118" i="23"/>
  <c r="F118" i="23"/>
  <c r="G118" i="23"/>
  <c r="H118" i="23"/>
  <c r="E119" i="23"/>
  <c r="F119" i="23"/>
  <c r="G119" i="23"/>
  <c r="H119" i="23"/>
  <c r="H4" i="23"/>
  <c r="G4" i="23"/>
  <c r="F4" i="23"/>
  <c r="E4" i="23"/>
  <c r="G16" i="22"/>
  <c r="G15" i="22"/>
  <c r="G7" i="22"/>
  <c r="G8" i="22"/>
  <c r="G9" i="22"/>
  <c r="G10" i="22"/>
  <c r="G11" i="22"/>
  <c r="G12" i="22"/>
  <c r="G13" i="22"/>
  <c r="G6" i="22"/>
  <c r="D4" i="22"/>
  <c r="G7" i="21"/>
  <c r="G8" i="21"/>
  <c r="G9" i="21"/>
  <c r="G10" i="21"/>
  <c r="G11" i="21"/>
  <c r="G12" i="21"/>
  <c r="G13" i="21"/>
  <c r="G6" i="21"/>
  <c r="G16" i="21" s="1"/>
  <c r="D4" i="21"/>
  <c r="G12" i="19"/>
  <c r="H12" i="19"/>
  <c r="I12" i="19"/>
  <c r="G13" i="19"/>
  <c r="H13" i="19"/>
  <c r="J13" i="19" s="1"/>
  <c r="I13" i="19"/>
  <c r="G14" i="19"/>
  <c r="J14" i="19" s="1"/>
  <c r="H14" i="19"/>
  <c r="I14" i="19"/>
  <c r="G15" i="19"/>
  <c r="H15" i="19"/>
  <c r="I15" i="19"/>
  <c r="J15" i="19"/>
  <c r="G16" i="19"/>
  <c r="H16" i="19"/>
  <c r="I16" i="19"/>
  <c r="G17" i="19"/>
  <c r="H17" i="19"/>
  <c r="I17" i="19"/>
  <c r="J17" i="19"/>
  <c r="G18" i="19"/>
  <c r="J18" i="19" s="1"/>
  <c r="H18" i="19"/>
  <c r="I18" i="19"/>
  <c r="G19" i="19"/>
  <c r="H19" i="19"/>
  <c r="J19" i="19" s="1"/>
  <c r="I19" i="19"/>
  <c r="G20" i="19"/>
  <c r="H20" i="19"/>
  <c r="I20" i="19"/>
  <c r="G21" i="19"/>
  <c r="J21" i="19" s="1"/>
  <c r="H21" i="19"/>
  <c r="I21" i="19"/>
  <c r="G22" i="19"/>
  <c r="H22" i="19"/>
  <c r="I22" i="19"/>
  <c r="G23" i="19"/>
  <c r="H23" i="19"/>
  <c r="J23" i="19" s="1"/>
  <c r="I23" i="19"/>
  <c r="G24" i="19"/>
  <c r="H24" i="19"/>
  <c r="I24" i="19"/>
  <c r="G25" i="19"/>
  <c r="H25" i="19"/>
  <c r="J25" i="19" s="1"/>
  <c r="I25" i="19"/>
  <c r="G26" i="19"/>
  <c r="H26" i="19"/>
  <c r="I26" i="19"/>
  <c r="G27" i="19"/>
  <c r="H27" i="19"/>
  <c r="I27" i="19"/>
  <c r="J27" i="19"/>
  <c r="G28" i="19"/>
  <c r="H28" i="19"/>
  <c r="I28" i="19"/>
  <c r="G29" i="19"/>
  <c r="H29" i="19"/>
  <c r="I29" i="19"/>
  <c r="J29" i="19"/>
  <c r="G30" i="19"/>
  <c r="H30" i="19"/>
  <c r="I30" i="19"/>
  <c r="G31" i="19"/>
  <c r="H31" i="19"/>
  <c r="J31" i="19" s="1"/>
  <c r="I31" i="19"/>
  <c r="G32" i="19"/>
  <c r="H32" i="19"/>
  <c r="I32" i="19"/>
  <c r="G33" i="19"/>
  <c r="H33" i="19"/>
  <c r="I33" i="19"/>
  <c r="G34" i="19"/>
  <c r="H34" i="19"/>
  <c r="I34" i="19"/>
  <c r="G35" i="19"/>
  <c r="H35" i="19"/>
  <c r="I35" i="19"/>
  <c r="G36" i="19"/>
  <c r="H36" i="19"/>
  <c r="I36" i="19"/>
  <c r="G37" i="19"/>
  <c r="J37" i="19" s="1"/>
  <c r="H37" i="19"/>
  <c r="I37" i="19"/>
  <c r="G38" i="19"/>
  <c r="H38" i="19"/>
  <c r="I38" i="19"/>
  <c r="G39" i="19"/>
  <c r="H39" i="19"/>
  <c r="J39" i="19" s="1"/>
  <c r="I39" i="19"/>
  <c r="G40" i="19"/>
  <c r="H40" i="19"/>
  <c r="I40" i="19"/>
  <c r="G41" i="19"/>
  <c r="H41" i="19"/>
  <c r="I41" i="19"/>
  <c r="G42" i="19"/>
  <c r="H42" i="19"/>
  <c r="I42" i="19"/>
  <c r="G43" i="19"/>
  <c r="J43" i="19" s="1"/>
  <c r="H43" i="19"/>
  <c r="I43" i="19"/>
  <c r="G44" i="19"/>
  <c r="H44" i="19"/>
  <c r="I44" i="19"/>
  <c r="G45" i="19"/>
  <c r="H45" i="19"/>
  <c r="I45" i="19"/>
  <c r="G46" i="19"/>
  <c r="H46" i="19"/>
  <c r="I46" i="19"/>
  <c r="G47" i="19"/>
  <c r="H47" i="19"/>
  <c r="I47" i="19"/>
  <c r="G48" i="19"/>
  <c r="H48" i="19"/>
  <c r="I48" i="19"/>
  <c r="G49" i="19"/>
  <c r="H49" i="19"/>
  <c r="I49" i="19"/>
  <c r="G50" i="19"/>
  <c r="H50" i="19"/>
  <c r="I50" i="19"/>
  <c r="G51" i="19"/>
  <c r="H51" i="19"/>
  <c r="I51" i="19"/>
  <c r="J51" i="19"/>
  <c r="G52" i="19"/>
  <c r="H52" i="19"/>
  <c r="I52" i="19"/>
  <c r="G53" i="19"/>
  <c r="H53" i="19"/>
  <c r="J53" i="19" s="1"/>
  <c r="I53" i="19"/>
  <c r="G54" i="19"/>
  <c r="J54" i="19" s="1"/>
  <c r="H54" i="19"/>
  <c r="I54" i="19"/>
  <c r="G55" i="19"/>
  <c r="H55" i="19"/>
  <c r="I55" i="19"/>
  <c r="G56" i="19"/>
  <c r="H56" i="19"/>
  <c r="I56" i="19"/>
  <c r="G57" i="19"/>
  <c r="H57" i="19"/>
  <c r="I57" i="19"/>
  <c r="G58" i="19"/>
  <c r="H58" i="19"/>
  <c r="I58" i="19"/>
  <c r="G59" i="19"/>
  <c r="H59" i="19"/>
  <c r="J59" i="19" s="1"/>
  <c r="I59" i="19"/>
  <c r="G60" i="19"/>
  <c r="H60" i="19"/>
  <c r="I60" i="19"/>
  <c r="G61" i="19"/>
  <c r="H61" i="19"/>
  <c r="I61" i="19"/>
  <c r="J61" i="19"/>
  <c r="G62" i="19"/>
  <c r="H62" i="19"/>
  <c r="I62" i="19"/>
  <c r="G63" i="19"/>
  <c r="H63" i="19"/>
  <c r="J63" i="19" s="1"/>
  <c r="I63" i="19"/>
  <c r="G64" i="19"/>
  <c r="H64" i="19"/>
  <c r="I64" i="19"/>
  <c r="G65" i="19"/>
  <c r="H65" i="19"/>
  <c r="I65" i="19"/>
  <c r="G66" i="19"/>
  <c r="H66" i="19"/>
  <c r="I66" i="19"/>
  <c r="G67" i="19"/>
  <c r="J67" i="19" s="1"/>
  <c r="H67" i="19"/>
  <c r="I67" i="19"/>
  <c r="G68" i="19"/>
  <c r="H68" i="19"/>
  <c r="I68" i="19"/>
  <c r="G69" i="19"/>
  <c r="H69" i="19"/>
  <c r="I69" i="19"/>
  <c r="J69" i="19"/>
  <c r="G70" i="19"/>
  <c r="H70" i="19"/>
  <c r="I70" i="19"/>
  <c r="G71" i="19"/>
  <c r="H71" i="19"/>
  <c r="I71" i="19"/>
  <c r="G72" i="19"/>
  <c r="H72" i="19"/>
  <c r="I72" i="19"/>
  <c r="G73" i="19"/>
  <c r="J73" i="19" s="1"/>
  <c r="H73" i="19"/>
  <c r="I73" i="19"/>
  <c r="G74" i="19"/>
  <c r="H74" i="19"/>
  <c r="I74" i="19"/>
  <c r="G75" i="19"/>
  <c r="H75" i="19"/>
  <c r="I75" i="19"/>
  <c r="G76" i="19"/>
  <c r="H76" i="19"/>
  <c r="I76" i="19"/>
  <c r="G77" i="19"/>
  <c r="H77" i="19"/>
  <c r="I77" i="19"/>
  <c r="G78" i="19"/>
  <c r="H78" i="19"/>
  <c r="I78" i="19"/>
  <c r="G79" i="19"/>
  <c r="H79" i="19"/>
  <c r="I79" i="19"/>
  <c r="G80" i="19"/>
  <c r="H80" i="19"/>
  <c r="I80" i="19"/>
  <c r="G81" i="19"/>
  <c r="H81" i="19"/>
  <c r="I81" i="19"/>
  <c r="G82" i="19"/>
  <c r="H82" i="19"/>
  <c r="I82" i="19"/>
  <c r="G83" i="19"/>
  <c r="J83" i="19" s="1"/>
  <c r="H83" i="19"/>
  <c r="I83" i="19"/>
  <c r="G84" i="19"/>
  <c r="H84" i="19"/>
  <c r="I84" i="19"/>
  <c r="G85" i="19"/>
  <c r="H85" i="19"/>
  <c r="I85" i="19"/>
  <c r="G86" i="19"/>
  <c r="J86" i="19" s="1"/>
  <c r="H86" i="19"/>
  <c r="I86" i="19"/>
  <c r="G87" i="19"/>
  <c r="H87" i="19"/>
  <c r="I87" i="19"/>
  <c r="G88" i="19"/>
  <c r="H88" i="19"/>
  <c r="I88" i="19"/>
  <c r="G89" i="19"/>
  <c r="H89" i="19"/>
  <c r="I89" i="19"/>
  <c r="G90" i="19"/>
  <c r="H90" i="19"/>
  <c r="I90" i="19"/>
  <c r="G91" i="19"/>
  <c r="J91" i="19" s="1"/>
  <c r="H91" i="19"/>
  <c r="I91" i="19"/>
  <c r="G92" i="19"/>
  <c r="H92" i="19"/>
  <c r="I92" i="19"/>
  <c r="G93" i="19"/>
  <c r="J93" i="19" s="1"/>
  <c r="H93" i="19"/>
  <c r="I93" i="19"/>
  <c r="G94" i="19"/>
  <c r="H94" i="19"/>
  <c r="I94" i="19"/>
  <c r="G95" i="19"/>
  <c r="H95" i="19"/>
  <c r="I95" i="19"/>
  <c r="G96" i="19"/>
  <c r="H96" i="19"/>
  <c r="I96" i="19"/>
  <c r="G97" i="19"/>
  <c r="H97" i="19"/>
  <c r="I97" i="19"/>
  <c r="G98" i="19"/>
  <c r="H98" i="19"/>
  <c r="I98" i="19"/>
  <c r="G99" i="19"/>
  <c r="H99" i="19"/>
  <c r="I99" i="19"/>
  <c r="J99" i="19"/>
  <c r="G100" i="19"/>
  <c r="H100" i="19"/>
  <c r="I100" i="19"/>
  <c r="G101" i="19"/>
  <c r="H101" i="19"/>
  <c r="I101" i="19"/>
  <c r="G102" i="19"/>
  <c r="H102" i="19"/>
  <c r="I102" i="19"/>
  <c r="G103" i="19"/>
  <c r="H103" i="19"/>
  <c r="I103" i="19"/>
  <c r="G104" i="19"/>
  <c r="H104" i="19"/>
  <c r="I104" i="19"/>
  <c r="G105" i="19"/>
  <c r="H105" i="19"/>
  <c r="I105" i="19"/>
  <c r="G106" i="19"/>
  <c r="H106" i="19"/>
  <c r="I106" i="19"/>
  <c r="G107" i="19"/>
  <c r="H107" i="19"/>
  <c r="I107" i="19"/>
  <c r="J107" i="19"/>
  <c r="G108" i="19"/>
  <c r="H108" i="19"/>
  <c r="I108" i="19"/>
  <c r="G109" i="19"/>
  <c r="J109" i="19" s="1"/>
  <c r="H109" i="19"/>
  <c r="I109" i="19"/>
  <c r="G110" i="19"/>
  <c r="H110" i="19"/>
  <c r="I110" i="19"/>
  <c r="G111" i="19"/>
  <c r="J111" i="19" s="1"/>
  <c r="H111" i="19"/>
  <c r="I111" i="19"/>
  <c r="G112" i="19"/>
  <c r="H112" i="19"/>
  <c r="I112" i="19"/>
  <c r="G113" i="19"/>
  <c r="H113" i="19"/>
  <c r="J113" i="19" s="1"/>
  <c r="I113" i="19"/>
  <c r="G114" i="19"/>
  <c r="J114" i="19" s="1"/>
  <c r="H114" i="19"/>
  <c r="I114" i="19"/>
  <c r="G115" i="19"/>
  <c r="J115" i="19" s="1"/>
  <c r="H115" i="19"/>
  <c r="I115" i="19"/>
  <c r="G116" i="19"/>
  <c r="H116" i="19"/>
  <c r="I116" i="19"/>
  <c r="G117" i="19"/>
  <c r="H117" i="19"/>
  <c r="I117" i="19"/>
  <c r="G118" i="19"/>
  <c r="H118" i="19"/>
  <c r="I118" i="19"/>
  <c r="G119" i="19"/>
  <c r="H119" i="19"/>
  <c r="I119" i="19"/>
  <c r="G120" i="19"/>
  <c r="H120" i="19"/>
  <c r="I120" i="19"/>
  <c r="G121" i="19"/>
  <c r="J121" i="19" s="1"/>
  <c r="H121" i="19"/>
  <c r="I121" i="19"/>
  <c r="G122" i="19"/>
  <c r="H122" i="19"/>
  <c r="I122" i="19"/>
  <c r="G123" i="19"/>
  <c r="H123" i="19"/>
  <c r="I123" i="19"/>
  <c r="G124" i="19"/>
  <c r="H124" i="19"/>
  <c r="I124" i="19"/>
  <c r="G125" i="19"/>
  <c r="H125" i="19"/>
  <c r="I125" i="19"/>
  <c r="G126" i="19"/>
  <c r="J126" i="19" s="1"/>
  <c r="H126" i="19"/>
  <c r="I126" i="19"/>
  <c r="G127" i="19"/>
  <c r="H127" i="19"/>
  <c r="I127" i="19"/>
  <c r="J127" i="19"/>
  <c r="G128" i="19"/>
  <c r="H128" i="19"/>
  <c r="I128" i="19"/>
  <c r="G129" i="19"/>
  <c r="H129" i="19"/>
  <c r="I129" i="19"/>
  <c r="G130" i="19"/>
  <c r="H130" i="19"/>
  <c r="I130" i="19"/>
  <c r="G131" i="19"/>
  <c r="J131" i="19" s="1"/>
  <c r="H131" i="19"/>
  <c r="I131" i="19"/>
  <c r="G132" i="19"/>
  <c r="H132" i="19"/>
  <c r="I132" i="19"/>
  <c r="G133" i="19"/>
  <c r="H133" i="19"/>
  <c r="I133" i="19"/>
  <c r="G134" i="19"/>
  <c r="J134" i="19" s="1"/>
  <c r="H134" i="19"/>
  <c r="I134" i="19"/>
  <c r="G135" i="19"/>
  <c r="H135" i="19"/>
  <c r="I135" i="19"/>
  <c r="G136" i="19"/>
  <c r="H136" i="19"/>
  <c r="I136" i="19"/>
  <c r="G137" i="19"/>
  <c r="H137" i="19"/>
  <c r="I137" i="19"/>
  <c r="G138" i="19"/>
  <c r="H138" i="19"/>
  <c r="I138" i="19"/>
  <c r="G139" i="19"/>
  <c r="H139" i="19"/>
  <c r="J139" i="19" s="1"/>
  <c r="I139" i="19"/>
  <c r="G140" i="19"/>
  <c r="H140" i="19"/>
  <c r="I140" i="19"/>
  <c r="G141" i="19"/>
  <c r="H141" i="19"/>
  <c r="I141" i="19"/>
  <c r="G142" i="19"/>
  <c r="J142" i="19" s="1"/>
  <c r="H142" i="19"/>
  <c r="I142" i="19"/>
  <c r="G143" i="19"/>
  <c r="J143" i="19" s="1"/>
  <c r="H143" i="19"/>
  <c r="I143" i="19"/>
  <c r="G144" i="19"/>
  <c r="H144" i="19"/>
  <c r="I144" i="19"/>
  <c r="G145" i="19"/>
  <c r="H145" i="19"/>
  <c r="I145" i="19"/>
  <c r="G146" i="19"/>
  <c r="H146" i="19"/>
  <c r="I146" i="19"/>
  <c r="G147" i="19"/>
  <c r="H147" i="19"/>
  <c r="I147" i="19"/>
  <c r="J147" i="19"/>
  <c r="G148" i="19"/>
  <c r="H148" i="19"/>
  <c r="I148" i="19"/>
  <c r="G149" i="19"/>
  <c r="H149" i="19"/>
  <c r="I149" i="19"/>
  <c r="G150" i="19"/>
  <c r="H150" i="19"/>
  <c r="I150" i="19"/>
  <c r="G151" i="19"/>
  <c r="H151" i="19"/>
  <c r="I151" i="19"/>
  <c r="G152" i="19"/>
  <c r="H152" i="19"/>
  <c r="I152" i="19"/>
  <c r="G153" i="19"/>
  <c r="H153" i="19"/>
  <c r="I153" i="19"/>
  <c r="G154" i="19"/>
  <c r="H154" i="19"/>
  <c r="I154" i="19"/>
  <c r="G155" i="19"/>
  <c r="H155" i="19"/>
  <c r="I155" i="19"/>
  <c r="J155" i="19"/>
  <c r="G156" i="19"/>
  <c r="H156" i="19"/>
  <c r="I156" i="19"/>
  <c r="G157" i="19"/>
  <c r="J157" i="19" s="1"/>
  <c r="H157" i="19"/>
  <c r="I157" i="19"/>
  <c r="G158" i="19"/>
  <c r="H158" i="19"/>
  <c r="I158" i="19"/>
  <c r="G159" i="19"/>
  <c r="H159" i="19"/>
  <c r="I159" i="19"/>
  <c r="G160" i="19"/>
  <c r="H160" i="19"/>
  <c r="I160" i="19"/>
  <c r="G161" i="19"/>
  <c r="H161" i="19"/>
  <c r="I161" i="19"/>
  <c r="G162" i="19"/>
  <c r="J162" i="19" s="1"/>
  <c r="H162" i="19"/>
  <c r="I162" i="19"/>
  <c r="G163" i="19"/>
  <c r="H163" i="19"/>
  <c r="I163" i="19"/>
  <c r="G164" i="19"/>
  <c r="H164" i="19"/>
  <c r="I164" i="19"/>
  <c r="G165" i="19"/>
  <c r="H165" i="19"/>
  <c r="I165" i="19"/>
  <c r="G166" i="19"/>
  <c r="H166" i="19"/>
  <c r="I166" i="19"/>
  <c r="G167" i="19"/>
  <c r="J167" i="19" s="1"/>
  <c r="H167" i="19"/>
  <c r="I167" i="19"/>
  <c r="G168" i="19"/>
  <c r="H168" i="19"/>
  <c r="I168" i="19"/>
  <c r="G169" i="19"/>
  <c r="H169" i="19"/>
  <c r="I169" i="19"/>
  <c r="G170" i="19"/>
  <c r="H170" i="19"/>
  <c r="I170" i="19"/>
  <c r="G171" i="19"/>
  <c r="J171" i="19" s="1"/>
  <c r="H171" i="19"/>
  <c r="I171" i="19"/>
  <c r="G172" i="19"/>
  <c r="H172" i="19"/>
  <c r="I172" i="19"/>
  <c r="G173" i="19"/>
  <c r="H173" i="19"/>
  <c r="I173" i="19"/>
  <c r="G174" i="19"/>
  <c r="H174" i="19"/>
  <c r="I174" i="19"/>
  <c r="G175" i="19"/>
  <c r="H175" i="19"/>
  <c r="I175" i="19"/>
  <c r="J175" i="19"/>
  <c r="G176" i="19"/>
  <c r="H176" i="19"/>
  <c r="I176" i="19"/>
  <c r="G177" i="19"/>
  <c r="H177" i="19"/>
  <c r="J177" i="19" s="1"/>
  <c r="I177" i="19"/>
  <c r="G178" i="19"/>
  <c r="H178" i="19"/>
  <c r="I178" i="19"/>
  <c r="G179" i="19"/>
  <c r="H179" i="19"/>
  <c r="I179" i="19"/>
  <c r="G180" i="19"/>
  <c r="H180" i="19"/>
  <c r="I180" i="19"/>
  <c r="G181" i="19"/>
  <c r="J181" i="19" s="1"/>
  <c r="H181" i="19"/>
  <c r="I181" i="19"/>
  <c r="G182" i="19"/>
  <c r="H182" i="19"/>
  <c r="I182" i="19"/>
  <c r="G183" i="19"/>
  <c r="H183" i="19"/>
  <c r="I183" i="19"/>
  <c r="G184" i="19"/>
  <c r="H184" i="19"/>
  <c r="I184" i="19"/>
  <c r="G185" i="19"/>
  <c r="J185" i="19" s="1"/>
  <c r="H185" i="19"/>
  <c r="I185" i="19"/>
  <c r="G186" i="19"/>
  <c r="H186" i="19"/>
  <c r="I186" i="19"/>
  <c r="G187" i="19"/>
  <c r="J187" i="19" s="1"/>
  <c r="H187" i="19"/>
  <c r="I187" i="19"/>
  <c r="G188" i="19"/>
  <c r="H188" i="19"/>
  <c r="I188" i="19"/>
  <c r="G189" i="19"/>
  <c r="J189" i="19" s="1"/>
  <c r="H189" i="19"/>
  <c r="I189" i="19"/>
  <c r="G190" i="19"/>
  <c r="H190" i="19"/>
  <c r="I190" i="19"/>
  <c r="G191" i="19"/>
  <c r="H191" i="19"/>
  <c r="I191" i="19"/>
  <c r="G192" i="19"/>
  <c r="H192" i="19"/>
  <c r="I192" i="19"/>
  <c r="G193" i="19"/>
  <c r="J193" i="19" s="1"/>
  <c r="H193" i="19"/>
  <c r="I193" i="19"/>
  <c r="G194" i="19"/>
  <c r="H194" i="19"/>
  <c r="I194" i="19"/>
  <c r="G195" i="19"/>
  <c r="J195" i="19" s="1"/>
  <c r="H195" i="19"/>
  <c r="I195" i="19"/>
  <c r="G196" i="19"/>
  <c r="H196" i="19"/>
  <c r="I196" i="19"/>
  <c r="G197" i="19"/>
  <c r="J197" i="19" s="1"/>
  <c r="H197" i="19"/>
  <c r="I197" i="19"/>
  <c r="G198" i="19"/>
  <c r="J198" i="19" s="1"/>
  <c r="H198" i="19"/>
  <c r="I198" i="19"/>
  <c r="G199" i="19"/>
  <c r="H199" i="19"/>
  <c r="I199" i="19"/>
  <c r="G200" i="19"/>
  <c r="H200" i="19"/>
  <c r="I200" i="19"/>
  <c r="G201" i="19"/>
  <c r="J201" i="19" s="1"/>
  <c r="H201" i="19"/>
  <c r="I201" i="19"/>
  <c r="G202" i="19"/>
  <c r="H202" i="19"/>
  <c r="I202" i="19"/>
  <c r="G203" i="19"/>
  <c r="J203" i="19" s="1"/>
  <c r="H203" i="19"/>
  <c r="I203" i="19"/>
  <c r="G204" i="19"/>
  <c r="H204" i="19"/>
  <c r="I204" i="19"/>
  <c r="G205" i="19"/>
  <c r="J205" i="19" s="1"/>
  <c r="H205" i="19"/>
  <c r="I205" i="19"/>
  <c r="G206" i="19"/>
  <c r="J206" i="19" s="1"/>
  <c r="H206" i="19"/>
  <c r="I206" i="19"/>
  <c r="G207" i="19"/>
  <c r="H207" i="19"/>
  <c r="I207" i="19"/>
  <c r="G208" i="19"/>
  <c r="H208" i="19"/>
  <c r="I208" i="19"/>
  <c r="G209" i="19"/>
  <c r="J209" i="19" s="1"/>
  <c r="H209" i="19"/>
  <c r="I209" i="19"/>
  <c r="G210" i="19"/>
  <c r="H210" i="19"/>
  <c r="I210" i="19"/>
  <c r="G211" i="19"/>
  <c r="J211" i="19" s="1"/>
  <c r="H211" i="19"/>
  <c r="I211" i="19"/>
  <c r="G212" i="19"/>
  <c r="H212" i="19"/>
  <c r="I212" i="19"/>
  <c r="G213" i="19"/>
  <c r="J213" i="19" s="1"/>
  <c r="H213" i="19"/>
  <c r="I213" i="19"/>
  <c r="G214" i="19"/>
  <c r="J214" i="19" s="1"/>
  <c r="H214" i="19"/>
  <c r="I214" i="19"/>
  <c r="G215" i="19"/>
  <c r="H215" i="19"/>
  <c r="I215" i="19"/>
  <c r="G216" i="19"/>
  <c r="H216" i="19"/>
  <c r="I216" i="19"/>
  <c r="G217" i="19"/>
  <c r="J217" i="19" s="1"/>
  <c r="H217" i="19"/>
  <c r="I217" i="19"/>
  <c r="G218" i="19"/>
  <c r="H218" i="19"/>
  <c r="I218" i="19"/>
  <c r="G219" i="19"/>
  <c r="J219" i="19" s="1"/>
  <c r="H219" i="19"/>
  <c r="I219" i="19"/>
  <c r="G220" i="19"/>
  <c r="H220" i="19"/>
  <c r="I220" i="19"/>
  <c r="G221" i="19"/>
  <c r="J221" i="19" s="1"/>
  <c r="H221" i="19"/>
  <c r="I221" i="19"/>
  <c r="G222" i="19"/>
  <c r="J222" i="19" s="1"/>
  <c r="H222" i="19"/>
  <c r="I222" i="19"/>
  <c r="G223" i="19"/>
  <c r="H223" i="19"/>
  <c r="I223" i="19"/>
  <c r="G224" i="19"/>
  <c r="H224" i="19"/>
  <c r="I224" i="19"/>
  <c r="G225" i="19"/>
  <c r="J225" i="19" s="1"/>
  <c r="H225" i="19"/>
  <c r="I225" i="19"/>
  <c r="G226" i="19"/>
  <c r="H226" i="19"/>
  <c r="I226" i="19"/>
  <c r="G227" i="19"/>
  <c r="J227" i="19" s="1"/>
  <c r="H227" i="19"/>
  <c r="I227" i="19"/>
  <c r="G228" i="19"/>
  <c r="H228" i="19"/>
  <c r="I228" i="19"/>
  <c r="G229" i="19"/>
  <c r="J229" i="19" s="1"/>
  <c r="H229" i="19"/>
  <c r="I229" i="19"/>
  <c r="G230" i="19"/>
  <c r="J230" i="19" s="1"/>
  <c r="H230" i="19"/>
  <c r="I230" i="19"/>
  <c r="G231" i="19"/>
  <c r="H231" i="19"/>
  <c r="I231" i="19"/>
  <c r="G232" i="19"/>
  <c r="H232" i="19"/>
  <c r="I232" i="19"/>
  <c r="G233" i="19"/>
  <c r="J233" i="19" s="1"/>
  <c r="H233" i="19"/>
  <c r="I233" i="19"/>
  <c r="G234" i="19"/>
  <c r="H234" i="19"/>
  <c r="I234" i="19"/>
  <c r="G235" i="19"/>
  <c r="J235" i="19" s="1"/>
  <c r="H235" i="19"/>
  <c r="I235" i="19"/>
  <c r="G236" i="19"/>
  <c r="H236" i="19"/>
  <c r="I236" i="19"/>
  <c r="G237" i="19"/>
  <c r="J237" i="19" s="1"/>
  <c r="H237" i="19"/>
  <c r="I237" i="19"/>
  <c r="G238" i="19"/>
  <c r="J238" i="19" s="1"/>
  <c r="H238" i="19"/>
  <c r="I238" i="19"/>
  <c r="G239" i="19"/>
  <c r="H239" i="19"/>
  <c r="I239" i="19"/>
  <c r="G240" i="19"/>
  <c r="H240" i="19"/>
  <c r="I240" i="19"/>
  <c r="G241" i="19"/>
  <c r="J241" i="19" s="1"/>
  <c r="H241" i="19"/>
  <c r="I241" i="19"/>
  <c r="G242" i="19"/>
  <c r="H242" i="19"/>
  <c r="I242" i="19"/>
  <c r="G243" i="19"/>
  <c r="J243" i="19" s="1"/>
  <c r="H243" i="19"/>
  <c r="I243" i="19"/>
  <c r="G244" i="19"/>
  <c r="H244" i="19"/>
  <c r="I244" i="19"/>
  <c r="G245" i="19"/>
  <c r="J245" i="19" s="1"/>
  <c r="H245" i="19"/>
  <c r="I245" i="19"/>
  <c r="G246" i="19"/>
  <c r="J246" i="19" s="1"/>
  <c r="H246" i="19"/>
  <c r="I246" i="19"/>
  <c r="G247" i="19"/>
  <c r="H247" i="19"/>
  <c r="I247" i="19"/>
  <c r="G248" i="19"/>
  <c r="H248" i="19"/>
  <c r="I248" i="19"/>
  <c r="G249" i="19"/>
  <c r="J249" i="19" s="1"/>
  <c r="H249" i="19"/>
  <c r="I249" i="19"/>
  <c r="G250" i="19"/>
  <c r="H250" i="19"/>
  <c r="I250" i="19"/>
  <c r="G251" i="19"/>
  <c r="J251" i="19" s="1"/>
  <c r="H251" i="19"/>
  <c r="I251" i="19"/>
  <c r="G252" i="19"/>
  <c r="H252" i="19"/>
  <c r="I252" i="19"/>
  <c r="G253" i="19"/>
  <c r="J253" i="19" s="1"/>
  <c r="H253" i="19"/>
  <c r="I253" i="19"/>
  <c r="G254" i="19"/>
  <c r="J254" i="19" s="1"/>
  <c r="H254" i="19"/>
  <c r="I254" i="19"/>
  <c r="G255" i="19"/>
  <c r="H255" i="19"/>
  <c r="I255" i="19"/>
  <c r="G256" i="19"/>
  <c r="H256" i="19"/>
  <c r="I256" i="19"/>
  <c r="G257" i="19"/>
  <c r="J257" i="19" s="1"/>
  <c r="H257" i="19"/>
  <c r="I257" i="19"/>
  <c r="G258" i="19"/>
  <c r="H258" i="19"/>
  <c r="I258" i="19"/>
  <c r="G259" i="19"/>
  <c r="J259" i="19" s="1"/>
  <c r="H259" i="19"/>
  <c r="I259" i="19"/>
  <c r="G260" i="19"/>
  <c r="H260" i="19"/>
  <c r="I260" i="19"/>
  <c r="G261" i="19"/>
  <c r="J261" i="19" s="1"/>
  <c r="H261" i="19"/>
  <c r="I261" i="19"/>
  <c r="G262" i="19"/>
  <c r="J262" i="19" s="1"/>
  <c r="H262" i="19"/>
  <c r="I262" i="19"/>
  <c r="G263" i="19"/>
  <c r="H263" i="19"/>
  <c r="I263" i="19"/>
  <c r="G264" i="19"/>
  <c r="H264" i="19"/>
  <c r="I264" i="19"/>
  <c r="G265" i="19"/>
  <c r="J265" i="19" s="1"/>
  <c r="H265" i="19"/>
  <c r="I265" i="19"/>
  <c r="G266" i="19"/>
  <c r="H266" i="19"/>
  <c r="I266" i="19"/>
  <c r="G267" i="19"/>
  <c r="J267" i="19" s="1"/>
  <c r="H267" i="19"/>
  <c r="I267" i="19"/>
  <c r="G268" i="19"/>
  <c r="H268" i="19"/>
  <c r="I268" i="19"/>
  <c r="G269" i="19"/>
  <c r="J269" i="19" s="1"/>
  <c r="H269" i="19"/>
  <c r="I269" i="19"/>
  <c r="G270" i="19"/>
  <c r="J270" i="19" s="1"/>
  <c r="H270" i="19"/>
  <c r="I270" i="19"/>
  <c r="G271" i="19"/>
  <c r="H271" i="19"/>
  <c r="I271" i="19"/>
  <c r="G272" i="19"/>
  <c r="H272" i="19"/>
  <c r="I272" i="19"/>
  <c r="G273" i="19"/>
  <c r="J273" i="19" s="1"/>
  <c r="H273" i="19"/>
  <c r="I273" i="19"/>
  <c r="G274" i="19"/>
  <c r="H274" i="19"/>
  <c r="I274" i="19"/>
  <c r="G275" i="19"/>
  <c r="J275" i="19" s="1"/>
  <c r="H275" i="19"/>
  <c r="I275" i="19"/>
  <c r="G276" i="19"/>
  <c r="H276" i="19"/>
  <c r="I276" i="19"/>
  <c r="G277" i="19"/>
  <c r="J277" i="19" s="1"/>
  <c r="H277" i="19"/>
  <c r="I277" i="19"/>
  <c r="G278" i="19"/>
  <c r="H278" i="19"/>
  <c r="I278" i="19"/>
  <c r="G279" i="19"/>
  <c r="H279" i="19"/>
  <c r="I279" i="19"/>
  <c r="G280" i="19"/>
  <c r="H280" i="19"/>
  <c r="I280" i="19"/>
  <c r="G281" i="19"/>
  <c r="H281" i="19"/>
  <c r="I281" i="19"/>
  <c r="J281" i="19"/>
  <c r="G282" i="19"/>
  <c r="H282" i="19"/>
  <c r="I282" i="19"/>
  <c r="G283" i="19"/>
  <c r="H283" i="19"/>
  <c r="I283" i="19"/>
  <c r="J283" i="19"/>
  <c r="G284" i="19"/>
  <c r="H284" i="19"/>
  <c r="I284" i="19"/>
  <c r="G285" i="19"/>
  <c r="J285" i="19" s="1"/>
  <c r="H285" i="19"/>
  <c r="I285" i="19"/>
  <c r="G286" i="19"/>
  <c r="H286" i="19"/>
  <c r="I286" i="19"/>
  <c r="G287" i="19"/>
  <c r="J287" i="19" s="1"/>
  <c r="H287" i="19"/>
  <c r="I287" i="19"/>
  <c r="G288" i="19"/>
  <c r="H288" i="19"/>
  <c r="I288" i="19"/>
  <c r="G289" i="19"/>
  <c r="H289" i="19"/>
  <c r="I289" i="19"/>
  <c r="G290" i="19"/>
  <c r="H290" i="19"/>
  <c r="I290" i="19"/>
  <c r="G291" i="19"/>
  <c r="J291" i="19" s="1"/>
  <c r="H291" i="19"/>
  <c r="I291" i="19"/>
  <c r="G292" i="19"/>
  <c r="J292" i="19" s="1"/>
  <c r="H292" i="19"/>
  <c r="I292" i="19"/>
  <c r="G293" i="19"/>
  <c r="H293" i="19"/>
  <c r="I293" i="19"/>
  <c r="G294" i="19"/>
  <c r="H294" i="19"/>
  <c r="I294" i="19"/>
  <c r="G295" i="19"/>
  <c r="J295" i="19" s="1"/>
  <c r="H295" i="19"/>
  <c r="I295" i="19"/>
  <c r="G296" i="19"/>
  <c r="H296" i="19"/>
  <c r="I296" i="19"/>
  <c r="G297" i="19"/>
  <c r="J297" i="19" s="1"/>
  <c r="H297" i="19"/>
  <c r="I297" i="19"/>
  <c r="G298" i="19"/>
  <c r="H298" i="19"/>
  <c r="I298" i="19"/>
  <c r="G299" i="19"/>
  <c r="J299" i="19" s="1"/>
  <c r="H299" i="19"/>
  <c r="I299" i="19"/>
  <c r="G300" i="19"/>
  <c r="H300" i="19"/>
  <c r="I300" i="19"/>
  <c r="G301" i="19"/>
  <c r="J301" i="19" s="1"/>
  <c r="H301" i="19"/>
  <c r="I301" i="19"/>
  <c r="G302" i="19"/>
  <c r="H302" i="19"/>
  <c r="I302" i="19"/>
  <c r="G303" i="19"/>
  <c r="J303" i="19" s="1"/>
  <c r="H303" i="19"/>
  <c r="I303" i="19"/>
  <c r="G304" i="19"/>
  <c r="H304" i="19"/>
  <c r="I304" i="19"/>
  <c r="G305" i="19"/>
  <c r="H305" i="19"/>
  <c r="I305" i="19"/>
  <c r="G306" i="19"/>
  <c r="H306" i="19"/>
  <c r="I306" i="19"/>
  <c r="G307" i="19"/>
  <c r="J307" i="19" s="1"/>
  <c r="H307" i="19"/>
  <c r="I307" i="19"/>
  <c r="G308" i="19"/>
  <c r="J308" i="19" s="1"/>
  <c r="H308" i="19"/>
  <c r="I308" i="19"/>
  <c r="G309" i="19"/>
  <c r="J309" i="19" s="1"/>
  <c r="H309" i="19"/>
  <c r="I309" i="19"/>
  <c r="G310" i="19"/>
  <c r="H310" i="19"/>
  <c r="I310" i="19"/>
  <c r="G311" i="19"/>
  <c r="H311" i="19"/>
  <c r="I311" i="19"/>
  <c r="G312" i="19"/>
  <c r="H312" i="19"/>
  <c r="I312" i="19"/>
  <c r="G313" i="19"/>
  <c r="H313" i="19"/>
  <c r="J313" i="19" s="1"/>
  <c r="I313" i="19"/>
  <c r="G314" i="19"/>
  <c r="J314" i="19" s="1"/>
  <c r="H314" i="19"/>
  <c r="I314" i="19"/>
  <c r="G315" i="19"/>
  <c r="H315" i="19"/>
  <c r="I315" i="19"/>
  <c r="G316" i="19"/>
  <c r="J316" i="19" s="1"/>
  <c r="H316" i="19"/>
  <c r="I316" i="19"/>
  <c r="G317" i="19"/>
  <c r="H317" i="19"/>
  <c r="I317" i="19"/>
  <c r="J317" i="19"/>
  <c r="G318" i="19"/>
  <c r="H318" i="19"/>
  <c r="I318" i="19"/>
  <c r="G319" i="19"/>
  <c r="H319" i="19"/>
  <c r="I319" i="19"/>
  <c r="J319" i="19"/>
  <c r="G320" i="19"/>
  <c r="H320" i="19"/>
  <c r="I320" i="19"/>
  <c r="G321" i="19"/>
  <c r="J321" i="19" s="1"/>
  <c r="H321" i="19"/>
  <c r="I321" i="19"/>
  <c r="G322" i="19"/>
  <c r="H322" i="19"/>
  <c r="I322" i="19"/>
  <c r="G323" i="19"/>
  <c r="J323" i="19" s="1"/>
  <c r="H323" i="19"/>
  <c r="I323" i="19"/>
  <c r="G324" i="19"/>
  <c r="H324" i="19"/>
  <c r="I324" i="19"/>
  <c r="G325" i="19"/>
  <c r="H325" i="19"/>
  <c r="I325" i="19"/>
  <c r="G326" i="19"/>
  <c r="J326" i="19" s="1"/>
  <c r="H326" i="19"/>
  <c r="I326" i="19"/>
  <c r="G327" i="19"/>
  <c r="H327" i="19"/>
  <c r="I327" i="19"/>
  <c r="G328" i="19"/>
  <c r="J328" i="19" s="1"/>
  <c r="H328" i="19"/>
  <c r="I328" i="19"/>
  <c r="G329" i="19"/>
  <c r="H329" i="19"/>
  <c r="I329" i="19"/>
  <c r="G330" i="19"/>
  <c r="H330" i="19"/>
  <c r="I330" i="19"/>
  <c r="G331" i="19"/>
  <c r="J331" i="19" s="1"/>
  <c r="H331" i="19"/>
  <c r="I331" i="19"/>
  <c r="G332" i="19"/>
  <c r="J332" i="19" s="1"/>
  <c r="H332" i="19"/>
  <c r="I332" i="19"/>
  <c r="G333" i="19"/>
  <c r="J333" i="19" s="1"/>
  <c r="H333" i="19"/>
  <c r="I333" i="19"/>
  <c r="G334" i="19"/>
  <c r="H334" i="19"/>
  <c r="I334" i="19"/>
  <c r="G335" i="19"/>
  <c r="H335" i="19"/>
  <c r="I335" i="19"/>
  <c r="G336" i="19"/>
  <c r="H336" i="19"/>
  <c r="I336" i="19"/>
  <c r="G337" i="19"/>
  <c r="J337" i="19" s="1"/>
  <c r="H337" i="19"/>
  <c r="I337" i="19"/>
  <c r="G338" i="19"/>
  <c r="J338" i="19" s="1"/>
  <c r="H338" i="19"/>
  <c r="I338" i="19"/>
  <c r="G339" i="19"/>
  <c r="J339" i="19" s="1"/>
  <c r="H339" i="19"/>
  <c r="I339" i="19"/>
  <c r="G340" i="19"/>
  <c r="H340" i="19"/>
  <c r="I340" i="19"/>
  <c r="G341" i="19"/>
  <c r="H341" i="19"/>
  <c r="I341" i="19"/>
  <c r="G342" i="19"/>
  <c r="H342" i="19"/>
  <c r="I342" i="19"/>
  <c r="G343" i="19"/>
  <c r="J343" i="19" s="1"/>
  <c r="H343" i="19"/>
  <c r="I343" i="19"/>
  <c r="G344" i="19"/>
  <c r="J344" i="19" s="1"/>
  <c r="H344" i="19"/>
  <c r="I344" i="19"/>
  <c r="G345" i="19"/>
  <c r="J345" i="19" s="1"/>
  <c r="H345" i="19"/>
  <c r="I345" i="19"/>
  <c r="G346" i="19"/>
  <c r="H346" i="19"/>
  <c r="I346" i="19"/>
  <c r="G347" i="19"/>
  <c r="H347" i="19"/>
  <c r="I347" i="19"/>
  <c r="G348" i="19"/>
  <c r="J348" i="19" s="1"/>
  <c r="H348" i="19"/>
  <c r="I348" i="19"/>
  <c r="G349" i="19"/>
  <c r="H349" i="19"/>
  <c r="I349" i="19"/>
  <c r="G350" i="19"/>
  <c r="J350" i="19" s="1"/>
  <c r="H350" i="19"/>
  <c r="I350" i="19"/>
  <c r="G351" i="19"/>
  <c r="H351" i="19"/>
  <c r="I351" i="19"/>
  <c r="J351" i="19"/>
  <c r="G352" i="19"/>
  <c r="H352" i="19"/>
  <c r="I352" i="19"/>
  <c r="G353" i="19"/>
  <c r="H353" i="19"/>
  <c r="I353" i="19"/>
  <c r="J353" i="19"/>
  <c r="G354" i="19"/>
  <c r="J354" i="19" s="1"/>
  <c r="H354" i="19"/>
  <c r="I354" i="19"/>
  <c r="G355" i="19"/>
  <c r="J355" i="19" s="1"/>
  <c r="H355" i="19"/>
  <c r="I355" i="19"/>
  <c r="G356" i="19"/>
  <c r="H356" i="19"/>
  <c r="I356" i="19"/>
  <c r="G357" i="19"/>
  <c r="J357" i="19" s="1"/>
  <c r="H357" i="19"/>
  <c r="I357" i="19"/>
  <c r="G358" i="19"/>
  <c r="H358" i="19"/>
  <c r="I358" i="19"/>
  <c r="G359" i="19"/>
  <c r="H359" i="19"/>
  <c r="I359" i="19"/>
  <c r="G360" i="19"/>
  <c r="H360" i="19"/>
  <c r="I360" i="19"/>
  <c r="G361" i="19"/>
  <c r="H361" i="19"/>
  <c r="I361" i="19"/>
  <c r="G362" i="19"/>
  <c r="H362" i="19"/>
  <c r="I362" i="19"/>
  <c r="G363" i="19"/>
  <c r="H363" i="19"/>
  <c r="I363" i="19"/>
  <c r="J363" i="19"/>
  <c r="G364" i="19"/>
  <c r="H364" i="19"/>
  <c r="I364" i="19"/>
  <c r="G365" i="19"/>
  <c r="J365" i="19" s="1"/>
  <c r="H365" i="19"/>
  <c r="I365" i="19"/>
  <c r="G366" i="19"/>
  <c r="H366" i="19"/>
  <c r="I366" i="19"/>
  <c r="G367" i="19"/>
  <c r="H367" i="19"/>
  <c r="J367" i="19" s="1"/>
  <c r="I367" i="19"/>
  <c r="G368" i="19"/>
  <c r="H368" i="19"/>
  <c r="I368" i="19"/>
  <c r="G369" i="19"/>
  <c r="H369" i="19"/>
  <c r="I369" i="19"/>
  <c r="G370" i="19"/>
  <c r="J370" i="19" s="1"/>
  <c r="H370" i="19"/>
  <c r="I370" i="19"/>
  <c r="G371" i="19"/>
  <c r="H371" i="19"/>
  <c r="I371" i="19"/>
  <c r="J371" i="19"/>
  <c r="G372" i="19"/>
  <c r="H372" i="19"/>
  <c r="I372" i="19"/>
  <c r="G373" i="19"/>
  <c r="H373" i="19"/>
  <c r="I373" i="19"/>
  <c r="G374" i="19"/>
  <c r="H374" i="19"/>
  <c r="I374" i="19"/>
  <c r="G375" i="19"/>
  <c r="J375" i="19" s="1"/>
  <c r="H375" i="19"/>
  <c r="I375" i="19"/>
  <c r="G376" i="19"/>
  <c r="H376" i="19"/>
  <c r="I376" i="19"/>
  <c r="G377" i="19"/>
  <c r="J377" i="19" s="1"/>
  <c r="H377" i="19"/>
  <c r="I377" i="19"/>
  <c r="G378" i="19"/>
  <c r="H378" i="19"/>
  <c r="I378" i="19"/>
  <c r="G379" i="19"/>
  <c r="H379" i="19"/>
  <c r="I379" i="19"/>
  <c r="G380" i="19"/>
  <c r="J380" i="19" s="1"/>
  <c r="H380" i="19"/>
  <c r="I380" i="19"/>
  <c r="G381" i="19"/>
  <c r="J381" i="19" s="1"/>
  <c r="H381" i="19"/>
  <c r="I381" i="19"/>
  <c r="G382" i="19"/>
  <c r="J382" i="19" s="1"/>
  <c r="H382" i="19"/>
  <c r="I382" i="19"/>
  <c r="G383" i="19"/>
  <c r="H383" i="19"/>
  <c r="I383" i="19"/>
  <c r="J383" i="19" s="1"/>
  <c r="G384" i="19"/>
  <c r="H384" i="19"/>
  <c r="I384" i="19"/>
  <c r="G385" i="19"/>
  <c r="H385" i="19"/>
  <c r="I385" i="19"/>
  <c r="J385" i="19"/>
  <c r="G386" i="19"/>
  <c r="H386" i="19"/>
  <c r="I386" i="19"/>
  <c r="G387" i="19"/>
  <c r="J387" i="19" s="1"/>
  <c r="H387" i="19"/>
  <c r="I387" i="19"/>
  <c r="G388" i="19"/>
  <c r="H388" i="19"/>
  <c r="I388" i="19"/>
  <c r="G389" i="19"/>
  <c r="J389" i="19" s="1"/>
  <c r="H389" i="19"/>
  <c r="I389" i="19"/>
  <c r="G390" i="19"/>
  <c r="H390" i="19"/>
  <c r="I390" i="19"/>
  <c r="G391" i="19"/>
  <c r="J391" i="19" s="1"/>
  <c r="H391" i="19"/>
  <c r="I391" i="19"/>
  <c r="G392" i="19"/>
  <c r="J392" i="19" s="1"/>
  <c r="H392" i="19"/>
  <c r="I392" i="19"/>
  <c r="G393" i="19"/>
  <c r="H393" i="19"/>
  <c r="I393" i="19"/>
  <c r="G394" i="19"/>
  <c r="H394" i="19"/>
  <c r="I394" i="19"/>
  <c r="G395" i="19"/>
  <c r="H395" i="19"/>
  <c r="I395" i="19"/>
  <c r="J395" i="19"/>
  <c r="G396" i="19"/>
  <c r="H396" i="19"/>
  <c r="I396" i="19"/>
  <c r="G397" i="19"/>
  <c r="J397" i="19" s="1"/>
  <c r="H397" i="19"/>
  <c r="I397" i="19"/>
  <c r="G398" i="19"/>
  <c r="H398" i="19"/>
  <c r="I398" i="19"/>
  <c r="G399" i="19"/>
  <c r="H399" i="19"/>
  <c r="J399" i="19" s="1"/>
  <c r="I399" i="19"/>
  <c r="G400" i="19"/>
  <c r="H400" i="19"/>
  <c r="I400" i="19"/>
  <c r="G401" i="19"/>
  <c r="J401" i="19" s="1"/>
  <c r="H401" i="19"/>
  <c r="I401" i="19"/>
  <c r="G402" i="19"/>
  <c r="J402" i="19" s="1"/>
  <c r="H402" i="19"/>
  <c r="I402" i="19"/>
  <c r="G403" i="19"/>
  <c r="J403" i="19" s="1"/>
  <c r="H403" i="19"/>
  <c r="I403" i="19"/>
  <c r="G404" i="19"/>
  <c r="H404" i="19"/>
  <c r="I404" i="19"/>
  <c r="G405" i="19"/>
  <c r="H405" i="19"/>
  <c r="I405" i="19"/>
  <c r="G406" i="19"/>
  <c r="H406" i="19"/>
  <c r="I406" i="19"/>
  <c r="G407" i="19"/>
  <c r="J407" i="19" s="1"/>
  <c r="H407" i="19"/>
  <c r="I407" i="19"/>
  <c r="G408" i="19"/>
  <c r="H408" i="19"/>
  <c r="I408" i="19"/>
  <c r="G409" i="19"/>
  <c r="J409" i="19" s="1"/>
  <c r="H409" i="19"/>
  <c r="I409" i="19"/>
  <c r="G410" i="19"/>
  <c r="H410" i="19"/>
  <c r="I410" i="19"/>
  <c r="G411" i="19"/>
  <c r="H411" i="19"/>
  <c r="I411" i="19"/>
  <c r="G412" i="19"/>
  <c r="H412" i="19"/>
  <c r="I412" i="19"/>
  <c r="G413" i="19"/>
  <c r="H413" i="19"/>
  <c r="I413" i="19"/>
  <c r="G414" i="19"/>
  <c r="J414" i="19" s="1"/>
  <c r="H414" i="19"/>
  <c r="I414" i="19"/>
  <c r="G415" i="19"/>
  <c r="H415" i="19"/>
  <c r="I415" i="19"/>
  <c r="J415" i="19"/>
  <c r="G416" i="19"/>
  <c r="H416" i="19"/>
  <c r="I416" i="19"/>
  <c r="G417" i="19"/>
  <c r="H417" i="19"/>
  <c r="I417" i="19"/>
  <c r="J417" i="19"/>
  <c r="G418" i="19"/>
  <c r="J418" i="19" s="1"/>
  <c r="H418" i="19"/>
  <c r="I418" i="19"/>
  <c r="G419" i="19"/>
  <c r="J419" i="19" s="1"/>
  <c r="H419" i="19"/>
  <c r="I419" i="19"/>
  <c r="G420" i="19"/>
  <c r="H420" i="19"/>
  <c r="I420" i="19"/>
  <c r="G421" i="19"/>
  <c r="J421" i="19" s="1"/>
  <c r="H421" i="19"/>
  <c r="I421" i="19"/>
  <c r="G422" i="19"/>
  <c r="H422" i="19"/>
  <c r="I422" i="19"/>
  <c r="G423" i="19"/>
  <c r="H423" i="19"/>
  <c r="I423" i="19"/>
  <c r="G424" i="19"/>
  <c r="H424" i="19"/>
  <c r="I424" i="19"/>
  <c r="G425" i="19"/>
  <c r="H425" i="19"/>
  <c r="I425" i="19"/>
  <c r="G426" i="19"/>
  <c r="H426" i="19"/>
  <c r="I426" i="19"/>
  <c r="G427" i="19"/>
  <c r="H427" i="19"/>
  <c r="I427" i="19"/>
  <c r="J427" i="19"/>
  <c r="G428" i="19"/>
  <c r="H428" i="19"/>
  <c r="I428" i="19"/>
  <c r="G429" i="19"/>
  <c r="J429" i="19" s="1"/>
  <c r="H429" i="19"/>
  <c r="I429" i="19"/>
  <c r="G430" i="19"/>
  <c r="H430" i="19"/>
  <c r="I430" i="19"/>
  <c r="G431" i="19"/>
  <c r="H431" i="19"/>
  <c r="J431" i="19" s="1"/>
  <c r="I431" i="19"/>
  <c r="G432" i="19"/>
  <c r="H432" i="19"/>
  <c r="I432" i="19"/>
  <c r="G433" i="19"/>
  <c r="H433" i="19"/>
  <c r="I433" i="19"/>
  <c r="G434" i="19"/>
  <c r="J434" i="19" s="1"/>
  <c r="H434" i="19"/>
  <c r="I434" i="19"/>
  <c r="G435" i="19"/>
  <c r="H435" i="19"/>
  <c r="I435" i="19"/>
  <c r="J435" i="19"/>
  <c r="G436" i="19"/>
  <c r="H436" i="19"/>
  <c r="I436" i="19"/>
  <c r="G437" i="19"/>
  <c r="H437" i="19"/>
  <c r="I437" i="19"/>
  <c r="G438" i="19"/>
  <c r="H438" i="19"/>
  <c r="I438" i="19"/>
  <c r="G439" i="19"/>
  <c r="J439" i="19" s="1"/>
  <c r="H439" i="19"/>
  <c r="I439" i="19"/>
  <c r="G440" i="19"/>
  <c r="H440" i="19"/>
  <c r="I440" i="19"/>
  <c r="G441" i="19"/>
  <c r="J441" i="19" s="1"/>
  <c r="H441" i="19"/>
  <c r="I441" i="19"/>
  <c r="G442" i="19"/>
  <c r="H442" i="19"/>
  <c r="I442" i="19"/>
  <c r="G443" i="19"/>
  <c r="H443" i="19"/>
  <c r="I443" i="19"/>
  <c r="G444" i="19"/>
  <c r="H444" i="19"/>
  <c r="I444" i="19"/>
  <c r="J444" i="19"/>
  <c r="G445" i="19"/>
  <c r="H445" i="19"/>
  <c r="I445" i="19"/>
  <c r="G446" i="19"/>
  <c r="H446" i="19"/>
  <c r="I446" i="19"/>
  <c r="J446" i="19"/>
  <c r="G447" i="19"/>
  <c r="J447" i="19" s="1"/>
  <c r="H447" i="19"/>
  <c r="I447" i="19"/>
  <c r="G448" i="19"/>
  <c r="H448" i="19"/>
  <c r="I448" i="19"/>
  <c r="J448" i="19"/>
  <c r="G449" i="19"/>
  <c r="J449" i="19" s="1"/>
  <c r="H449" i="19"/>
  <c r="I449" i="19"/>
  <c r="G450" i="19"/>
  <c r="H450" i="19"/>
  <c r="I450" i="19"/>
  <c r="J450" i="19"/>
  <c r="G451" i="19"/>
  <c r="H451" i="19"/>
  <c r="I451" i="19"/>
  <c r="G452" i="19"/>
  <c r="H452" i="19"/>
  <c r="I452" i="19"/>
  <c r="J452" i="19"/>
  <c r="G453" i="19"/>
  <c r="J453" i="19" s="1"/>
  <c r="H453" i="19"/>
  <c r="I453" i="19"/>
  <c r="G454" i="19"/>
  <c r="H454" i="19"/>
  <c r="I454" i="19"/>
  <c r="J454" i="19"/>
  <c r="G455" i="19"/>
  <c r="H455" i="19"/>
  <c r="I455" i="19"/>
  <c r="G456" i="19"/>
  <c r="H456" i="19"/>
  <c r="I456" i="19"/>
  <c r="J456" i="19"/>
  <c r="G457" i="19"/>
  <c r="H457" i="19"/>
  <c r="I457" i="19"/>
  <c r="G458" i="19"/>
  <c r="H458" i="19"/>
  <c r="I458" i="19"/>
  <c r="J458" i="19"/>
  <c r="G459" i="19"/>
  <c r="H459" i="19"/>
  <c r="I459" i="19"/>
  <c r="G460" i="19"/>
  <c r="H460" i="19"/>
  <c r="I460" i="19"/>
  <c r="J460" i="19"/>
  <c r="G461" i="19"/>
  <c r="H461" i="19"/>
  <c r="I461" i="19"/>
  <c r="G462" i="19"/>
  <c r="H462" i="19"/>
  <c r="I462" i="19"/>
  <c r="J462" i="19"/>
  <c r="G463" i="19"/>
  <c r="J463" i="19" s="1"/>
  <c r="H463" i="19"/>
  <c r="I463" i="19"/>
  <c r="G464" i="19"/>
  <c r="H464" i="19"/>
  <c r="I464" i="19"/>
  <c r="J464" i="19"/>
  <c r="G465" i="19"/>
  <c r="J465" i="19" s="1"/>
  <c r="H465" i="19"/>
  <c r="I465" i="19"/>
  <c r="G466" i="19"/>
  <c r="H466" i="19"/>
  <c r="I466" i="19"/>
  <c r="J466" i="19"/>
  <c r="G467" i="19"/>
  <c r="H467" i="19"/>
  <c r="I467" i="19"/>
  <c r="G468" i="19"/>
  <c r="H468" i="19"/>
  <c r="I468" i="19"/>
  <c r="J468" i="19"/>
  <c r="G469" i="19"/>
  <c r="J469" i="19" s="1"/>
  <c r="H469" i="19"/>
  <c r="I469" i="19"/>
  <c r="G470" i="19"/>
  <c r="H470" i="19"/>
  <c r="I470" i="19"/>
  <c r="J470" i="19"/>
  <c r="G471" i="19"/>
  <c r="H471" i="19"/>
  <c r="I471" i="19"/>
  <c r="G472" i="19"/>
  <c r="H472" i="19"/>
  <c r="I472" i="19"/>
  <c r="J472" i="19"/>
  <c r="G473" i="19"/>
  <c r="H473" i="19"/>
  <c r="I473" i="19"/>
  <c r="G474" i="19"/>
  <c r="H474" i="19"/>
  <c r="I474" i="19"/>
  <c r="J474" i="19"/>
  <c r="G475" i="19"/>
  <c r="H475" i="19"/>
  <c r="I475" i="19"/>
  <c r="G476" i="19"/>
  <c r="H476" i="19"/>
  <c r="I476" i="19"/>
  <c r="J476" i="19"/>
  <c r="G477" i="19"/>
  <c r="H477" i="19"/>
  <c r="I477" i="19"/>
  <c r="G478" i="19"/>
  <c r="H478" i="19"/>
  <c r="I478" i="19"/>
  <c r="J478" i="19"/>
  <c r="G479" i="19"/>
  <c r="J479" i="19" s="1"/>
  <c r="H479" i="19"/>
  <c r="I479" i="19"/>
  <c r="G480" i="19"/>
  <c r="H480" i="19"/>
  <c r="I480" i="19"/>
  <c r="J480" i="19"/>
  <c r="G481" i="19"/>
  <c r="J481" i="19" s="1"/>
  <c r="H481" i="19"/>
  <c r="I481" i="19"/>
  <c r="G482" i="19"/>
  <c r="H482" i="19"/>
  <c r="I482" i="19"/>
  <c r="J482" i="19"/>
  <c r="G483" i="19"/>
  <c r="H483" i="19"/>
  <c r="I483" i="19"/>
  <c r="G484" i="19"/>
  <c r="H484" i="19"/>
  <c r="I484" i="19"/>
  <c r="J484" i="19"/>
  <c r="G485" i="19"/>
  <c r="J485" i="19" s="1"/>
  <c r="H485" i="19"/>
  <c r="I485" i="19"/>
  <c r="G486" i="19"/>
  <c r="H486" i="19"/>
  <c r="I486" i="19"/>
  <c r="J486" i="19"/>
  <c r="G487" i="19"/>
  <c r="H487" i="19"/>
  <c r="I487" i="19"/>
  <c r="G488" i="19"/>
  <c r="H488" i="19"/>
  <c r="I488" i="19"/>
  <c r="J488" i="19"/>
  <c r="G489" i="19"/>
  <c r="H489" i="19"/>
  <c r="I489" i="19"/>
  <c r="G490" i="19"/>
  <c r="H490" i="19"/>
  <c r="I490" i="19"/>
  <c r="J490" i="19"/>
  <c r="G491" i="19"/>
  <c r="H491" i="19"/>
  <c r="I491" i="19"/>
  <c r="G492" i="19"/>
  <c r="H492" i="19"/>
  <c r="I492" i="19"/>
  <c r="J492" i="19"/>
  <c r="G493" i="19"/>
  <c r="H493" i="19"/>
  <c r="I493" i="19"/>
  <c r="G494" i="19"/>
  <c r="H494" i="19"/>
  <c r="I494" i="19"/>
  <c r="J494" i="19"/>
  <c r="G495" i="19"/>
  <c r="J495" i="19" s="1"/>
  <c r="H495" i="19"/>
  <c r="I495" i="19"/>
  <c r="G496" i="19"/>
  <c r="H496" i="19"/>
  <c r="I496" i="19"/>
  <c r="J496" i="19"/>
  <c r="G497" i="19"/>
  <c r="J497" i="19" s="1"/>
  <c r="H497" i="19"/>
  <c r="I497" i="19"/>
  <c r="G498" i="19"/>
  <c r="H498" i="19"/>
  <c r="I498" i="19"/>
  <c r="J498" i="19"/>
  <c r="G499" i="19"/>
  <c r="H499" i="19"/>
  <c r="I499" i="19"/>
  <c r="G500" i="19"/>
  <c r="H500" i="19"/>
  <c r="I500" i="19"/>
  <c r="J500" i="19"/>
  <c r="G501" i="19"/>
  <c r="J501" i="19" s="1"/>
  <c r="H501" i="19"/>
  <c r="I501" i="19"/>
  <c r="G502" i="19"/>
  <c r="H502" i="19"/>
  <c r="I502" i="19"/>
  <c r="J502" i="19"/>
  <c r="G503" i="19"/>
  <c r="H503" i="19"/>
  <c r="I503" i="19"/>
  <c r="G504" i="19"/>
  <c r="H504" i="19"/>
  <c r="I504" i="19"/>
  <c r="J504" i="19"/>
  <c r="G505" i="19"/>
  <c r="H505" i="19"/>
  <c r="I505" i="19"/>
  <c r="G506" i="19"/>
  <c r="H506" i="19"/>
  <c r="I506" i="19"/>
  <c r="J506" i="19"/>
  <c r="G507" i="19"/>
  <c r="H507" i="19"/>
  <c r="I507" i="19"/>
  <c r="G508" i="19"/>
  <c r="H508" i="19"/>
  <c r="I508" i="19"/>
  <c r="J508" i="19"/>
  <c r="G509" i="19"/>
  <c r="H509" i="19"/>
  <c r="I509" i="19"/>
  <c r="G510" i="19"/>
  <c r="H510" i="19"/>
  <c r="I510" i="19"/>
  <c r="J510" i="19"/>
  <c r="G511" i="19"/>
  <c r="J511" i="19" s="1"/>
  <c r="H511" i="19"/>
  <c r="I511" i="19"/>
  <c r="G512" i="19"/>
  <c r="H512" i="19"/>
  <c r="I512" i="19"/>
  <c r="J512" i="19"/>
  <c r="G513" i="19"/>
  <c r="J513" i="19" s="1"/>
  <c r="H513" i="19"/>
  <c r="I513" i="19"/>
  <c r="G514" i="19"/>
  <c r="H514" i="19"/>
  <c r="I514" i="19"/>
  <c r="J514" i="19"/>
  <c r="G515" i="19"/>
  <c r="H515" i="19"/>
  <c r="I515" i="19"/>
  <c r="G516" i="19"/>
  <c r="H516" i="19"/>
  <c r="I516" i="19"/>
  <c r="J516" i="19"/>
  <c r="G517" i="19"/>
  <c r="J517" i="19" s="1"/>
  <c r="H517" i="19"/>
  <c r="I517" i="19"/>
  <c r="G518" i="19"/>
  <c r="H518" i="19"/>
  <c r="I518" i="19"/>
  <c r="J518" i="19"/>
  <c r="G519" i="19"/>
  <c r="H519" i="19"/>
  <c r="I519" i="19"/>
  <c r="G520" i="19"/>
  <c r="H520" i="19"/>
  <c r="I520" i="19"/>
  <c r="J520" i="19"/>
  <c r="G521" i="19"/>
  <c r="H521" i="19"/>
  <c r="I521" i="19"/>
  <c r="G522" i="19"/>
  <c r="H522" i="19"/>
  <c r="I522" i="19"/>
  <c r="J522" i="19"/>
  <c r="G523" i="19"/>
  <c r="H523" i="19"/>
  <c r="I523" i="19"/>
  <c r="G524" i="19"/>
  <c r="H524" i="19"/>
  <c r="I524" i="19"/>
  <c r="J524" i="19"/>
  <c r="G525" i="19"/>
  <c r="H525" i="19"/>
  <c r="I525" i="19"/>
  <c r="G526" i="19"/>
  <c r="H526" i="19"/>
  <c r="I526" i="19"/>
  <c r="J526" i="19"/>
  <c r="G527" i="19"/>
  <c r="J527" i="19" s="1"/>
  <c r="H527" i="19"/>
  <c r="I527" i="19"/>
  <c r="G528" i="19"/>
  <c r="H528" i="19"/>
  <c r="I528" i="19"/>
  <c r="J528" i="19"/>
  <c r="G529" i="19"/>
  <c r="J529" i="19" s="1"/>
  <c r="H529" i="19"/>
  <c r="I529" i="19"/>
  <c r="G530" i="19"/>
  <c r="H530" i="19"/>
  <c r="I530" i="19"/>
  <c r="J530" i="19"/>
  <c r="G531" i="19"/>
  <c r="H531" i="19"/>
  <c r="I531" i="19"/>
  <c r="G532" i="19"/>
  <c r="H532" i="19"/>
  <c r="I532" i="19"/>
  <c r="J532" i="19"/>
  <c r="G533" i="19"/>
  <c r="J533" i="19" s="1"/>
  <c r="H533" i="19"/>
  <c r="I533" i="19"/>
  <c r="G534" i="19"/>
  <c r="H534" i="19"/>
  <c r="I534" i="19"/>
  <c r="J534" i="19"/>
  <c r="G535" i="19"/>
  <c r="H535" i="19"/>
  <c r="I535" i="19"/>
  <c r="G536" i="19"/>
  <c r="H536" i="19"/>
  <c r="I536" i="19"/>
  <c r="J536" i="19"/>
  <c r="G537" i="19"/>
  <c r="H537" i="19"/>
  <c r="I537" i="19"/>
  <c r="G538" i="19"/>
  <c r="H538" i="19"/>
  <c r="I538" i="19"/>
  <c r="J538" i="19"/>
  <c r="G539" i="19"/>
  <c r="H539" i="19"/>
  <c r="I539" i="19"/>
  <c r="G540" i="19"/>
  <c r="H540" i="19"/>
  <c r="I540" i="19"/>
  <c r="J540" i="19"/>
  <c r="G541" i="19"/>
  <c r="H541" i="19"/>
  <c r="I541" i="19"/>
  <c r="G542" i="19"/>
  <c r="H542" i="19"/>
  <c r="I542" i="19"/>
  <c r="J542" i="19"/>
  <c r="G543" i="19"/>
  <c r="J543" i="19" s="1"/>
  <c r="H543" i="19"/>
  <c r="I543" i="19"/>
  <c r="G544" i="19"/>
  <c r="H544" i="19"/>
  <c r="I544" i="19"/>
  <c r="J544" i="19"/>
  <c r="G545" i="19"/>
  <c r="J545" i="19" s="1"/>
  <c r="H545" i="19"/>
  <c r="I545" i="19"/>
  <c r="G546" i="19"/>
  <c r="H546" i="19"/>
  <c r="I546" i="19"/>
  <c r="J546" i="19"/>
  <c r="G547" i="19"/>
  <c r="H547" i="19"/>
  <c r="I547" i="19"/>
  <c r="G548" i="19"/>
  <c r="H548" i="19"/>
  <c r="I548" i="19"/>
  <c r="J548" i="19"/>
  <c r="G549" i="19"/>
  <c r="J549" i="19" s="1"/>
  <c r="H549" i="19"/>
  <c r="I549" i="19"/>
  <c r="G550" i="19"/>
  <c r="H550" i="19"/>
  <c r="I550" i="19"/>
  <c r="J550" i="19"/>
  <c r="G551" i="19"/>
  <c r="H551" i="19"/>
  <c r="I551" i="19"/>
  <c r="G552" i="19"/>
  <c r="H552" i="19"/>
  <c r="I552" i="19"/>
  <c r="J552" i="19"/>
  <c r="G553" i="19"/>
  <c r="H553" i="19"/>
  <c r="I553" i="19"/>
  <c r="G554" i="19"/>
  <c r="H554" i="19"/>
  <c r="I554" i="19"/>
  <c r="J554" i="19"/>
  <c r="G555" i="19"/>
  <c r="H555" i="19"/>
  <c r="I555" i="19"/>
  <c r="G556" i="19"/>
  <c r="H556" i="19"/>
  <c r="I556" i="19"/>
  <c r="J556" i="19"/>
  <c r="G557" i="19"/>
  <c r="H557" i="19"/>
  <c r="I557" i="19"/>
  <c r="G558" i="19"/>
  <c r="H558" i="19"/>
  <c r="I558" i="19"/>
  <c r="J558" i="19"/>
  <c r="G559" i="19"/>
  <c r="J559" i="19" s="1"/>
  <c r="H559" i="19"/>
  <c r="I559" i="19"/>
  <c r="G560" i="19"/>
  <c r="H560" i="19"/>
  <c r="I560" i="19"/>
  <c r="J560" i="19"/>
  <c r="G561" i="19"/>
  <c r="J561" i="19" s="1"/>
  <c r="H561" i="19"/>
  <c r="I561" i="19"/>
  <c r="G562" i="19"/>
  <c r="H562" i="19"/>
  <c r="I562" i="19"/>
  <c r="J562" i="19"/>
  <c r="G563" i="19"/>
  <c r="J563" i="19" s="1"/>
  <c r="H563" i="19"/>
  <c r="I563" i="19"/>
  <c r="G564" i="19"/>
  <c r="H564" i="19"/>
  <c r="I564" i="19"/>
  <c r="J564" i="19"/>
  <c r="G565" i="19"/>
  <c r="J565" i="19" s="1"/>
  <c r="H565" i="19"/>
  <c r="I565" i="19"/>
  <c r="G566" i="19"/>
  <c r="H566" i="19"/>
  <c r="I566" i="19"/>
  <c r="J566" i="19"/>
  <c r="G567" i="19"/>
  <c r="J567" i="19" s="1"/>
  <c r="H567" i="19"/>
  <c r="I567" i="19"/>
  <c r="G568" i="19"/>
  <c r="H568" i="19"/>
  <c r="I568" i="19"/>
  <c r="J568" i="19"/>
  <c r="G569" i="19"/>
  <c r="J569" i="19" s="1"/>
  <c r="H569" i="19"/>
  <c r="I569" i="19"/>
  <c r="G570" i="19"/>
  <c r="H570" i="19"/>
  <c r="I570" i="19"/>
  <c r="J570" i="19"/>
  <c r="G571" i="19"/>
  <c r="J571" i="19" s="1"/>
  <c r="H571" i="19"/>
  <c r="I571" i="19"/>
  <c r="G572" i="19"/>
  <c r="H572" i="19"/>
  <c r="I572" i="19"/>
  <c r="J572" i="19"/>
  <c r="G573" i="19"/>
  <c r="J573" i="19" s="1"/>
  <c r="H573" i="19"/>
  <c r="I573" i="19"/>
  <c r="G574" i="19"/>
  <c r="H574" i="19"/>
  <c r="I574" i="19"/>
  <c r="J574" i="19"/>
  <c r="G575" i="19"/>
  <c r="J575" i="19" s="1"/>
  <c r="H575" i="19"/>
  <c r="I575" i="19"/>
  <c r="G576" i="19"/>
  <c r="H576" i="19"/>
  <c r="I576" i="19"/>
  <c r="J576" i="19"/>
  <c r="G577" i="19"/>
  <c r="J577" i="19" s="1"/>
  <c r="H577" i="19"/>
  <c r="I577" i="19"/>
  <c r="G578" i="19"/>
  <c r="H578" i="19"/>
  <c r="I578" i="19"/>
  <c r="J578" i="19"/>
  <c r="G579" i="19"/>
  <c r="J579" i="19" s="1"/>
  <c r="H579" i="19"/>
  <c r="I579" i="19"/>
  <c r="G580" i="19"/>
  <c r="H580" i="19"/>
  <c r="I580" i="19"/>
  <c r="J580" i="19"/>
  <c r="G581" i="19"/>
  <c r="J581" i="19" s="1"/>
  <c r="H581" i="19"/>
  <c r="I581" i="19"/>
  <c r="G582" i="19"/>
  <c r="H582" i="19"/>
  <c r="J582" i="19" s="1"/>
  <c r="I582" i="19"/>
  <c r="G583" i="19"/>
  <c r="J583" i="19" s="1"/>
  <c r="H583" i="19"/>
  <c r="I583" i="19"/>
  <c r="G584" i="19"/>
  <c r="H584" i="19"/>
  <c r="J584" i="19" s="1"/>
  <c r="I584" i="19"/>
  <c r="G585" i="19"/>
  <c r="J585" i="19" s="1"/>
  <c r="H585" i="19"/>
  <c r="I585" i="19"/>
  <c r="G586" i="19"/>
  <c r="H586" i="19"/>
  <c r="J586" i="19" s="1"/>
  <c r="I586" i="19"/>
  <c r="G587" i="19"/>
  <c r="J587" i="19" s="1"/>
  <c r="H587" i="19"/>
  <c r="I587" i="19"/>
  <c r="G588" i="19"/>
  <c r="H588" i="19"/>
  <c r="J588" i="19" s="1"/>
  <c r="I588" i="19"/>
  <c r="G7" i="19"/>
  <c r="H7" i="19"/>
  <c r="I7" i="19"/>
  <c r="G8" i="19"/>
  <c r="H8" i="19"/>
  <c r="I8" i="19"/>
  <c r="G9" i="19"/>
  <c r="H9" i="19"/>
  <c r="I9" i="19"/>
  <c r="J9" i="19" s="1"/>
  <c r="G10" i="19"/>
  <c r="H10" i="19"/>
  <c r="I10" i="19"/>
  <c r="G11" i="19"/>
  <c r="H11" i="19"/>
  <c r="I11" i="19"/>
  <c r="G6" i="19"/>
  <c r="G15" i="21" l="1"/>
  <c r="J388" i="19"/>
  <c r="J179" i="19"/>
  <c r="J125" i="19"/>
  <c r="J11" i="19"/>
  <c r="J547" i="19"/>
  <c r="J531" i="19"/>
  <c r="J515" i="19"/>
  <c r="J499" i="19"/>
  <c r="J483" i="19"/>
  <c r="J467" i="19"/>
  <c r="J451" i="19"/>
  <c r="J411" i="19"/>
  <c r="J347" i="19"/>
  <c r="J311" i="19"/>
  <c r="J163" i="19"/>
  <c r="J158" i="19"/>
  <c r="J153" i="19"/>
  <c r="J145" i="19"/>
  <c r="J62" i="19"/>
  <c r="J49" i="19"/>
  <c r="J551" i="19"/>
  <c r="J535" i="19"/>
  <c r="J519" i="19"/>
  <c r="J503" i="19"/>
  <c r="J487" i="19"/>
  <c r="J471" i="19"/>
  <c r="J455" i="19"/>
  <c r="J423" i="19"/>
  <c r="J413" i="19"/>
  <c r="J364" i="19"/>
  <c r="J359" i="19"/>
  <c r="J349" i="19"/>
  <c r="J320" i="19"/>
  <c r="J315" i="19"/>
  <c r="J284" i="19"/>
  <c r="J279" i="19"/>
  <c r="J77" i="19"/>
  <c r="J553" i="19"/>
  <c r="J537" i="19"/>
  <c r="J521" i="19"/>
  <c r="J505" i="19"/>
  <c r="J489" i="19"/>
  <c r="J473" i="19"/>
  <c r="J457" i="19"/>
  <c r="J433" i="19"/>
  <c r="J369" i="19"/>
  <c r="J356" i="19"/>
  <c r="J82" i="19"/>
  <c r="J79" i="19"/>
  <c r="J71" i="19"/>
  <c r="J30" i="19"/>
  <c r="J7" i="19"/>
  <c r="J555" i="19"/>
  <c r="J539" i="19"/>
  <c r="J523" i="19"/>
  <c r="J507" i="19"/>
  <c r="J491" i="19"/>
  <c r="J475" i="19"/>
  <c r="J459" i="19"/>
  <c r="J443" i="19"/>
  <c r="J379" i="19"/>
  <c r="J330" i="19"/>
  <c r="J322" i="19"/>
  <c r="J87" i="19"/>
  <c r="J35" i="19"/>
  <c r="J10" i="19"/>
  <c r="J557" i="19"/>
  <c r="J541" i="19"/>
  <c r="J525" i="19"/>
  <c r="J509" i="19"/>
  <c r="J493" i="19"/>
  <c r="J477" i="19"/>
  <c r="J461" i="19"/>
  <c r="J445" i="19"/>
  <c r="J386" i="19"/>
  <c r="J376" i="19"/>
  <c r="J335" i="19"/>
  <c r="J327" i="19"/>
  <c r="J123" i="19"/>
  <c r="J110" i="19"/>
  <c r="J105" i="19"/>
  <c r="J97" i="19"/>
  <c r="J45" i="19"/>
  <c r="J426" i="19"/>
  <c r="J394" i="19"/>
  <c r="J384" i="19"/>
  <c r="J374" i="19"/>
  <c r="J362" i="19"/>
  <c r="J352" i="19"/>
  <c r="J342" i="19"/>
  <c r="J325" i="19"/>
  <c r="J318" i="19"/>
  <c r="J289" i="19"/>
  <c r="J282" i="19"/>
  <c r="J272" i="19"/>
  <c r="J264" i="19"/>
  <c r="J256" i="19"/>
  <c r="J248" i="19"/>
  <c r="J240" i="19"/>
  <c r="J232" i="19"/>
  <c r="J224" i="19"/>
  <c r="J216" i="19"/>
  <c r="J208" i="19"/>
  <c r="J200" i="19"/>
  <c r="J192" i="19"/>
  <c r="J184" i="19"/>
  <c r="J174" i="19"/>
  <c r="J169" i="19"/>
  <c r="J161" i="19"/>
  <c r="J141" i="19"/>
  <c r="J133" i="19"/>
  <c r="J103" i="19"/>
  <c r="J95" i="19"/>
  <c r="J85" i="19"/>
  <c r="J57" i="19"/>
  <c r="J50" i="19"/>
  <c r="J47" i="19"/>
  <c r="J437" i="19"/>
  <c r="J430" i="19"/>
  <c r="J425" i="19"/>
  <c r="J405" i="19"/>
  <c r="J398" i="19"/>
  <c r="J393" i="19"/>
  <c r="J373" i="19"/>
  <c r="J366" i="19"/>
  <c r="J361" i="19"/>
  <c r="J341" i="19"/>
  <c r="J334" i="19"/>
  <c r="J324" i="19"/>
  <c r="J305" i="19"/>
  <c r="J298" i="19"/>
  <c r="J271" i="19"/>
  <c r="J263" i="19"/>
  <c r="J255" i="19"/>
  <c r="J247" i="19"/>
  <c r="J239" i="19"/>
  <c r="J231" i="19"/>
  <c r="J223" i="19"/>
  <c r="J215" i="19"/>
  <c r="J207" i="19"/>
  <c r="J199" i="19"/>
  <c r="J191" i="19"/>
  <c r="J183" i="19"/>
  <c r="J178" i="19"/>
  <c r="J173" i="19"/>
  <c r="J117" i="19"/>
  <c r="J22" i="19"/>
  <c r="J442" i="19"/>
  <c r="J410" i="19"/>
  <c r="J390" i="19"/>
  <c r="J378" i="19"/>
  <c r="J368" i="19"/>
  <c r="J358" i="19"/>
  <c r="J346" i="19"/>
  <c r="J336" i="19"/>
  <c r="J329" i="19"/>
  <c r="J300" i="19"/>
  <c r="J293" i="19"/>
  <c r="J276" i="19"/>
  <c r="J165" i="19"/>
  <c r="J137" i="19"/>
  <c r="J129" i="19"/>
  <c r="J94" i="19"/>
  <c r="J89" i="19"/>
  <c r="J81" i="19"/>
  <c r="J66" i="19"/>
  <c r="J46" i="19"/>
  <c r="J41" i="19"/>
  <c r="J34" i="19"/>
  <c r="J8" i="19"/>
  <c r="J372" i="19"/>
  <c r="J360" i="19"/>
  <c r="J340" i="19"/>
  <c r="J190" i="19"/>
  <c r="J182" i="19"/>
  <c r="J159" i="19"/>
  <c r="J149" i="19"/>
  <c r="J101" i="19"/>
  <c r="J78" i="19"/>
  <c r="J75" i="19"/>
  <c r="J70" i="19"/>
  <c r="J65" i="19"/>
  <c r="J55" i="19"/>
  <c r="J38" i="19"/>
  <c r="J33" i="19"/>
  <c r="J432" i="19"/>
  <c r="J416" i="19"/>
  <c r="J400" i="19"/>
  <c r="J436" i="19"/>
  <c r="J420" i="19"/>
  <c r="J404" i="19"/>
  <c r="J438" i="19"/>
  <c r="J422" i="19"/>
  <c r="J406" i="19"/>
  <c r="J286" i="19"/>
  <c r="J440" i="19"/>
  <c r="J424" i="19"/>
  <c r="J408" i="19"/>
  <c r="J302" i="19"/>
  <c r="J119" i="19"/>
  <c r="J428" i="19"/>
  <c r="J412" i="19"/>
  <c r="J396" i="19"/>
  <c r="J304" i="19"/>
  <c r="J288" i="19"/>
  <c r="J166" i="19"/>
  <c r="J151" i="19"/>
  <c r="J146" i="19"/>
  <c r="J306" i="19"/>
  <c r="J290" i="19"/>
  <c r="J274" i="19"/>
  <c r="J266" i="19"/>
  <c r="J258" i="19"/>
  <c r="J250" i="19"/>
  <c r="J242" i="19"/>
  <c r="J234" i="19"/>
  <c r="J226" i="19"/>
  <c r="J218" i="19"/>
  <c r="J210" i="19"/>
  <c r="J202" i="19"/>
  <c r="J194" i="19"/>
  <c r="J186" i="19"/>
  <c r="J118" i="19"/>
  <c r="J98" i="19"/>
  <c r="J310" i="19"/>
  <c r="J294" i="19"/>
  <c r="J278" i="19"/>
  <c r="J268" i="19"/>
  <c r="J260" i="19"/>
  <c r="J252" i="19"/>
  <c r="J244" i="19"/>
  <c r="J236" i="19"/>
  <c r="J228" i="19"/>
  <c r="J220" i="19"/>
  <c r="J212" i="19"/>
  <c r="J204" i="19"/>
  <c r="J196" i="19"/>
  <c r="J188" i="19"/>
  <c r="J150" i="19"/>
  <c r="J135" i="19"/>
  <c r="J130" i="19"/>
  <c r="J312" i="19"/>
  <c r="J296" i="19"/>
  <c r="J280" i="19"/>
  <c r="J102" i="19"/>
  <c r="J176" i="19"/>
  <c r="J160" i="19"/>
  <c r="J144" i="19"/>
  <c r="J128" i="19"/>
  <c r="J112" i="19"/>
  <c r="J96" i="19"/>
  <c r="J80" i="19"/>
  <c r="J64" i="19"/>
  <c r="J48" i="19"/>
  <c r="J32" i="19"/>
  <c r="J16" i="19"/>
  <c r="J180" i="19"/>
  <c r="J164" i="19"/>
  <c r="J148" i="19"/>
  <c r="J132" i="19"/>
  <c r="J116" i="19"/>
  <c r="J100" i="19"/>
  <c r="J84" i="19"/>
  <c r="J68" i="19"/>
  <c r="J52" i="19"/>
  <c r="J36" i="19"/>
  <c r="J20" i="19"/>
  <c r="J168" i="19"/>
  <c r="J152" i="19"/>
  <c r="J136" i="19"/>
  <c r="J120" i="19"/>
  <c r="J104" i="19"/>
  <c r="J88" i="19"/>
  <c r="J72" i="19"/>
  <c r="J56" i="19"/>
  <c r="J40" i="19"/>
  <c r="J24" i="19"/>
  <c r="J170" i="19"/>
  <c r="J154" i="19"/>
  <c r="J138" i="19"/>
  <c r="J122" i="19"/>
  <c r="J106" i="19"/>
  <c r="J90" i="19"/>
  <c r="J74" i="19"/>
  <c r="J58" i="19"/>
  <c r="J42" i="19"/>
  <c r="J26" i="19"/>
  <c r="J172" i="19"/>
  <c r="J156" i="19"/>
  <c r="J140" i="19"/>
  <c r="J124" i="19"/>
  <c r="J108" i="19"/>
  <c r="J92" i="19"/>
  <c r="J76" i="19"/>
  <c r="J60" i="19"/>
  <c r="J44" i="19"/>
  <c r="J28" i="19"/>
  <c r="J12" i="19"/>
  <c r="I6" i="19"/>
  <c r="H6" i="19"/>
  <c r="J6" i="19" l="1"/>
</calcChain>
</file>

<file path=xl/sharedStrings.xml><?xml version="1.0" encoding="utf-8"?>
<sst xmlns="http://schemas.openxmlformats.org/spreadsheetml/2006/main" count="1454" uniqueCount="66">
  <si>
    <t>harry</t>
  </si>
  <si>
    <t>Price</t>
  </si>
  <si>
    <t>Harry</t>
  </si>
  <si>
    <t>Ron</t>
  </si>
  <si>
    <t>Name</t>
  </si>
  <si>
    <t>Peter</t>
  </si>
  <si>
    <t>DOB</t>
  </si>
  <si>
    <t>Sale</t>
  </si>
  <si>
    <t>Designation</t>
  </si>
  <si>
    <t>DOJ</t>
  </si>
  <si>
    <t>Basic</t>
  </si>
  <si>
    <t>HRA</t>
  </si>
  <si>
    <t>Sp Allowence</t>
  </si>
  <si>
    <t>PF</t>
  </si>
  <si>
    <t>Total Salary</t>
  </si>
  <si>
    <t>Accountant</t>
  </si>
  <si>
    <t>Sales Executive</t>
  </si>
  <si>
    <t>Operations Executive</t>
  </si>
  <si>
    <t>Manager</t>
  </si>
  <si>
    <t>Senior Manager</t>
  </si>
  <si>
    <t>neville</t>
  </si>
  <si>
    <t>chris</t>
  </si>
  <si>
    <t>michael</t>
  </si>
  <si>
    <t>haland</t>
  </si>
  <si>
    <t>junior</t>
  </si>
  <si>
    <t>leo</t>
  </si>
  <si>
    <t>pam</t>
  </si>
  <si>
    <t>jim</t>
  </si>
  <si>
    <t>bruce</t>
  </si>
  <si>
    <t>vini</t>
  </si>
  <si>
    <t>bob</t>
  </si>
  <si>
    <t>mike</t>
  </si>
  <si>
    <t>hermione</t>
  </si>
  <si>
    <t>oscar</t>
  </si>
  <si>
    <t>ron</t>
  </si>
  <si>
    <t>natasha</t>
  </si>
  <si>
    <t>phyllis</t>
  </si>
  <si>
    <t>angela</t>
  </si>
  <si>
    <t>peter</t>
  </si>
  <si>
    <t>Add Buttone Shape</t>
  </si>
  <si>
    <t>Name The Button</t>
  </si>
  <si>
    <t>Create macro without shortcut key for all designations</t>
  </si>
  <si>
    <t>Assign Macro to Button</t>
  </si>
  <si>
    <t>Process</t>
  </si>
  <si>
    <t>Date</t>
  </si>
  <si>
    <t>Item_id</t>
  </si>
  <si>
    <t>Item_Name</t>
  </si>
  <si>
    <t>Qty</t>
  </si>
  <si>
    <t>bottle</t>
  </si>
  <si>
    <t>plate</t>
  </si>
  <si>
    <t>fork</t>
  </si>
  <si>
    <t>spoon</t>
  </si>
  <si>
    <t>glass</t>
  </si>
  <si>
    <t>mug</t>
  </si>
  <si>
    <t>flask</t>
  </si>
  <si>
    <t>jar</t>
  </si>
  <si>
    <t>sub_total</t>
  </si>
  <si>
    <t>average_sale</t>
  </si>
  <si>
    <t>Total_salary</t>
  </si>
  <si>
    <t>AVP</t>
  </si>
  <si>
    <t>VP</t>
  </si>
  <si>
    <t>Voldy</t>
  </si>
  <si>
    <t>Draco</t>
  </si>
  <si>
    <t>Neville</t>
  </si>
  <si>
    <t>This is during  the macro recording</t>
  </si>
  <si>
    <t>This is after recording stopped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</si>
</sst>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511703848384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790574</xdr:colOff>
      <xdr:row>0</xdr:row>
      <xdr:rowOff>161925</xdr:rowOff>
    </xdr:from>
    <xdr:to>
      <xdr:col>2</xdr:col>
      <xdr:colOff>28574</xdr:colOff>
      <xdr:row>2</xdr:row>
      <xdr:rowOff>133350</xdr:rowOff>
    </xdr:to>
    <xdr:sp macro="[0]!manager" textlink="">
      <xdr:nvSpPr>
        <xdr:cNvPr id="2" name="Rectangle 1">
          <a:extLst>
            <a:ext uri="{FF2B5EF4-FFF2-40B4-BE49-F238E27FC236}">
              <a16:creationId xmlns:a16="http://schemas.microsoft.com/office/drawing/2014/main" id="{A9F6DE3B-3C8C-341D-1C14-81546065D4FE}"/>
            </a:ext>
          </a:extLst>
        </xdr:cNvPr>
        <xdr:cNvSpPr/>
      </xdr:nvSpPr>
      <xdr:spPr>
        <a:xfrm>
          <a:off x="790574" y="161925"/>
          <a:ext cx="1438275" cy="352425"/>
        </a:xfrm>
        <a:prstGeom prst="rect">
          <a:avLst/>
        </a:prstGeo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         Manager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0</xdr:row>
      <xdr:rowOff>68580</xdr:rowOff>
    </xdr:from>
    <xdr:to>
      <xdr:col>2</xdr:col>
      <xdr:colOff>137160</xdr:colOff>
      <xdr:row>1</xdr:row>
      <xdr:rowOff>137160</xdr:rowOff>
    </xdr:to>
    <xdr:sp macro="[1]!manag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22F1C1-BDC1-5C72-70D8-2085D704F648}"/>
            </a:ext>
          </a:extLst>
        </xdr:cNvPr>
        <xdr:cNvSpPr/>
      </xdr:nvSpPr>
      <xdr:spPr>
        <a:xfrm>
          <a:off x="662940" y="68580"/>
          <a:ext cx="1181100" cy="2590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Manager</a:t>
          </a:r>
        </a:p>
      </xdr:txBody>
    </xdr:sp>
    <xdr:clientData/>
  </xdr:twoCellAnchor>
  <xdr:twoCellAnchor>
    <xdr:from>
      <xdr:col>2</xdr:col>
      <xdr:colOff>281940</xdr:colOff>
      <xdr:row>0</xdr:row>
      <xdr:rowOff>70486</xdr:rowOff>
    </xdr:from>
    <xdr:to>
      <xdr:col>3</xdr:col>
      <xdr:colOff>474345</xdr:colOff>
      <xdr:row>1</xdr:row>
      <xdr:rowOff>156211</xdr:rowOff>
    </xdr:to>
    <xdr:sp macro="[1]!AV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CF0520-309B-E800-53C8-BEE3E95AD868}"/>
            </a:ext>
          </a:extLst>
        </xdr:cNvPr>
        <xdr:cNvSpPr/>
      </xdr:nvSpPr>
      <xdr:spPr>
        <a:xfrm>
          <a:off x="1988820" y="70486"/>
          <a:ext cx="115252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AVP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engu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AVP"/>
      <definedName name="manag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CB8E-9F82-442A-BE44-56BE774A53A4}">
  <sheetPr codeName="Sheet13"/>
  <dimension ref="B5:L588"/>
  <sheetViews>
    <sheetView workbookViewId="0">
      <selection activeCell="G19" sqref="G19"/>
    </sheetView>
  </sheetViews>
  <sheetFormatPr defaultRowHeight="15" x14ac:dyDescent="0.25"/>
  <cols>
    <col min="1" max="1" width="11.85546875" customWidth="1"/>
    <col min="2" max="2" width="21.140625" customWidth="1"/>
    <col min="3" max="3" width="17.28515625" customWidth="1"/>
    <col min="4" max="4" width="14.85546875" customWidth="1"/>
    <col min="5" max="5" width="14" customWidth="1"/>
    <col min="6" max="6" width="17.85546875" customWidth="1"/>
    <col min="7" max="7" width="16" customWidth="1"/>
    <col min="8" max="8" width="14.5703125" customWidth="1"/>
    <col min="9" max="9" width="14" customWidth="1"/>
    <col min="10" max="10" width="14.85546875" customWidth="1"/>
    <col min="12" max="12" width="52.85546875" customWidth="1"/>
  </cols>
  <sheetData>
    <row r="5" spans="2:12" x14ac:dyDescent="0.25">
      <c r="B5" s="4" t="s">
        <v>8</v>
      </c>
      <c r="C5" s="4" t="s">
        <v>4</v>
      </c>
      <c r="D5" s="4" t="s">
        <v>9</v>
      </c>
      <c r="E5" s="4" t="s">
        <v>6</v>
      </c>
      <c r="F5" s="4" t="s">
        <v>10</v>
      </c>
      <c r="G5" s="4" t="s">
        <v>11</v>
      </c>
      <c r="H5" s="4" t="s">
        <v>12</v>
      </c>
      <c r="I5" s="4" t="s">
        <v>13</v>
      </c>
      <c r="J5" s="4" t="s">
        <v>14</v>
      </c>
      <c r="L5" s="4" t="s">
        <v>43</v>
      </c>
    </row>
    <row r="6" spans="2:12" x14ac:dyDescent="0.25">
      <c r="B6" s="1" t="s">
        <v>15</v>
      </c>
      <c r="C6" s="1" t="s">
        <v>34</v>
      </c>
      <c r="D6" s="5">
        <v>43209</v>
      </c>
      <c r="E6" s="5">
        <v>32731</v>
      </c>
      <c r="F6" s="1">
        <v>10188</v>
      </c>
      <c r="G6" s="6">
        <f>F6*0.3</f>
        <v>3056.4</v>
      </c>
      <c r="H6" s="6">
        <f>F6*20%</f>
        <v>2037.6000000000001</v>
      </c>
      <c r="I6" s="6">
        <f>F6*12%</f>
        <v>1222.56</v>
      </c>
      <c r="J6" s="6">
        <f>SUM(F6:I6)</f>
        <v>16504.560000000001</v>
      </c>
      <c r="L6" s="1"/>
    </row>
    <row r="7" spans="2:12" x14ac:dyDescent="0.25">
      <c r="B7" s="1" t="s">
        <v>15</v>
      </c>
      <c r="C7" s="1" t="s">
        <v>28</v>
      </c>
      <c r="D7" s="5">
        <v>44103</v>
      </c>
      <c r="E7" s="5">
        <v>32974</v>
      </c>
      <c r="F7" s="1">
        <v>10126</v>
      </c>
      <c r="G7" s="6">
        <f t="shared" ref="G7:G70" si="0">F7*0.3</f>
        <v>3037.7999999999997</v>
      </c>
      <c r="H7" s="6">
        <f t="shared" ref="H7:H12" si="1">F7*20%</f>
        <v>2025.2</v>
      </c>
      <c r="I7" s="6">
        <f t="shared" ref="I7:I12" si="2">F7*12%</f>
        <v>1215.1199999999999</v>
      </c>
      <c r="J7" s="6">
        <f t="shared" ref="J7:J12" si="3">SUM(F7:I7)</f>
        <v>16404.12</v>
      </c>
      <c r="L7" s="1" t="s">
        <v>39</v>
      </c>
    </row>
    <row r="8" spans="2:12" x14ac:dyDescent="0.25">
      <c r="B8" s="1" t="s">
        <v>15</v>
      </c>
      <c r="C8" s="1" t="s">
        <v>26</v>
      </c>
      <c r="D8" s="5">
        <v>43937</v>
      </c>
      <c r="E8" s="5">
        <v>35031</v>
      </c>
      <c r="F8" s="1">
        <v>11455</v>
      </c>
      <c r="G8" s="6">
        <f t="shared" si="0"/>
        <v>3436.5</v>
      </c>
      <c r="H8" s="6">
        <f t="shared" si="1"/>
        <v>2291</v>
      </c>
      <c r="I8" s="6">
        <f t="shared" si="2"/>
        <v>1374.6</v>
      </c>
      <c r="J8" s="6">
        <f t="shared" si="3"/>
        <v>18557.099999999999</v>
      </c>
      <c r="L8" s="1" t="s">
        <v>40</v>
      </c>
    </row>
    <row r="9" spans="2:12" x14ac:dyDescent="0.25">
      <c r="B9" s="1" t="s">
        <v>15</v>
      </c>
      <c r="C9" s="1" t="s">
        <v>30</v>
      </c>
      <c r="D9" s="5">
        <v>44426</v>
      </c>
      <c r="E9" s="5">
        <v>34045</v>
      </c>
      <c r="F9" s="1">
        <v>11809</v>
      </c>
      <c r="G9" s="6">
        <f t="shared" si="0"/>
        <v>3542.7</v>
      </c>
      <c r="H9" s="6">
        <f t="shared" si="1"/>
        <v>2361.8000000000002</v>
      </c>
      <c r="I9" s="6">
        <f t="shared" si="2"/>
        <v>1417.08</v>
      </c>
      <c r="J9" s="6">
        <f t="shared" si="3"/>
        <v>19130.580000000002</v>
      </c>
      <c r="L9" s="1" t="s">
        <v>41</v>
      </c>
    </row>
    <row r="10" spans="2:12" x14ac:dyDescent="0.25">
      <c r="B10" s="1" t="s">
        <v>15</v>
      </c>
      <c r="C10" s="1" t="s">
        <v>26</v>
      </c>
      <c r="D10" s="5">
        <v>43690</v>
      </c>
      <c r="E10" s="5">
        <v>34924</v>
      </c>
      <c r="F10" s="1">
        <v>10900</v>
      </c>
      <c r="G10" s="6">
        <f t="shared" si="0"/>
        <v>3270</v>
      </c>
      <c r="H10" s="6">
        <f t="shared" si="1"/>
        <v>2180</v>
      </c>
      <c r="I10" s="6">
        <f t="shared" si="2"/>
        <v>1308</v>
      </c>
      <c r="J10" s="6">
        <f t="shared" si="3"/>
        <v>17658</v>
      </c>
      <c r="L10" s="1" t="s">
        <v>42</v>
      </c>
    </row>
    <row r="11" spans="2:12" x14ac:dyDescent="0.25">
      <c r="B11" s="1" t="s">
        <v>15</v>
      </c>
      <c r="C11" s="1" t="s">
        <v>22</v>
      </c>
      <c r="D11" s="5">
        <v>43606</v>
      </c>
      <c r="E11" s="5">
        <v>33537</v>
      </c>
      <c r="F11" s="1">
        <v>11233</v>
      </c>
      <c r="G11" s="6">
        <f t="shared" si="0"/>
        <v>3369.9</v>
      </c>
      <c r="H11" s="6">
        <f t="shared" si="1"/>
        <v>2246.6</v>
      </c>
      <c r="I11" s="6">
        <f t="shared" si="2"/>
        <v>1347.96</v>
      </c>
      <c r="J11" s="6">
        <f t="shared" si="3"/>
        <v>18197.46</v>
      </c>
    </row>
    <row r="12" spans="2:12" x14ac:dyDescent="0.25">
      <c r="B12" s="1" t="s">
        <v>15</v>
      </c>
      <c r="C12" s="1" t="s">
        <v>34</v>
      </c>
      <c r="D12" s="5">
        <v>44673</v>
      </c>
      <c r="E12" s="5">
        <v>34463</v>
      </c>
      <c r="F12" s="1">
        <v>11470</v>
      </c>
      <c r="G12" s="6">
        <f t="shared" si="0"/>
        <v>3441</v>
      </c>
      <c r="H12" s="6">
        <f t="shared" si="1"/>
        <v>2294</v>
      </c>
      <c r="I12" s="6">
        <f t="shared" si="2"/>
        <v>1376.3999999999999</v>
      </c>
      <c r="J12" s="6">
        <f t="shared" si="3"/>
        <v>18581.400000000001</v>
      </c>
    </row>
    <row r="13" spans="2:12" x14ac:dyDescent="0.25">
      <c r="B13" s="1" t="s">
        <v>15</v>
      </c>
      <c r="C13" s="1" t="s">
        <v>29</v>
      </c>
      <c r="D13" s="5">
        <v>43574</v>
      </c>
      <c r="E13" s="5">
        <v>33237</v>
      </c>
      <c r="F13" s="1">
        <v>11345</v>
      </c>
      <c r="G13" s="6">
        <f t="shared" si="0"/>
        <v>3403.5</v>
      </c>
      <c r="H13" s="6">
        <f t="shared" ref="H13:H76" si="4">F13*20%</f>
        <v>2269</v>
      </c>
      <c r="I13" s="6">
        <f t="shared" ref="I13:I76" si="5">F13*12%</f>
        <v>1361.3999999999999</v>
      </c>
      <c r="J13" s="6">
        <f t="shared" ref="J13:J76" si="6">SUM(F13:I13)</f>
        <v>18378.900000000001</v>
      </c>
    </row>
    <row r="14" spans="2:12" x14ac:dyDescent="0.25">
      <c r="B14" s="1" t="s">
        <v>15</v>
      </c>
      <c r="C14" s="1" t="s">
        <v>29</v>
      </c>
      <c r="D14" s="5">
        <v>43205</v>
      </c>
      <c r="E14" s="5">
        <v>32550</v>
      </c>
      <c r="F14" s="1">
        <v>10966</v>
      </c>
      <c r="G14" s="6">
        <f t="shared" si="0"/>
        <v>3289.7999999999997</v>
      </c>
      <c r="H14" s="6">
        <f t="shared" si="4"/>
        <v>2193.2000000000003</v>
      </c>
      <c r="I14" s="6">
        <f t="shared" si="5"/>
        <v>1315.9199999999998</v>
      </c>
      <c r="J14" s="6">
        <f t="shared" si="6"/>
        <v>17764.919999999998</v>
      </c>
    </row>
    <row r="15" spans="2:12" x14ac:dyDescent="0.25">
      <c r="B15" s="1" t="s">
        <v>15</v>
      </c>
      <c r="C15" s="1" t="s">
        <v>36</v>
      </c>
      <c r="D15" s="5">
        <v>44725</v>
      </c>
      <c r="E15" s="5">
        <v>33478</v>
      </c>
      <c r="F15" s="1">
        <v>11786</v>
      </c>
      <c r="G15" s="6">
        <f t="shared" si="0"/>
        <v>3535.7999999999997</v>
      </c>
      <c r="H15" s="6">
        <f t="shared" si="4"/>
        <v>2357.2000000000003</v>
      </c>
      <c r="I15" s="6">
        <f t="shared" si="5"/>
        <v>1414.32</v>
      </c>
      <c r="J15" s="6">
        <f t="shared" si="6"/>
        <v>19093.32</v>
      </c>
    </row>
    <row r="16" spans="2:12" x14ac:dyDescent="0.25">
      <c r="B16" s="1" t="s">
        <v>15</v>
      </c>
      <c r="C16" s="1" t="s">
        <v>24</v>
      </c>
      <c r="D16" s="5">
        <v>44374</v>
      </c>
      <c r="E16" s="5">
        <v>33909</v>
      </c>
      <c r="F16" s="1">
        <v>10347</v>
      </c>
      <c r="G16" s="6">
        <f t="shared" si="0"/>
        <v>3104.1</v>
      </c>
      <c r="H16" s="6">
        <f t="shared" si="4"/>
        <v>2069.4</v>
      </c>
      <c r="I16" s="6">
        <f t="shared" si="5"/>
        <v>1241.6399999999999</v>
      </c>
      <c r="J16" s="6">
        <f t="shared" si="6"/>
        <v>16762.14</v>
      </c>
    </row>
    <row r="17" spans="2:10" x14ac:dyDescent="0.25">
      <c r="B17" s="1" t="s">
        <v>15</v>
      </c>
      <c r="C17" s="1" t="s">
        <v>32</v>
      </c>
      <c r="D17" s="5">
        <v>44632</v>
      </c>
      <c r="E17" s="5">
        <v>32312</v>
      </c>
      <c r="F17" s="1">
        <v>10372</v>
      </c>
      <c r="G17" s="6">
        <f t="shared" si="0"/>
        <v>3111.6</v>
      </c>
      <c r="H17" s="6">
        <f t="shared" si="4"/>
        <v>2074.4</v>
      </c>
      <c r="I17" s="6">
        <f t="shared" si="5"/>
        <v>1244.6399999999999</v>
      </c>
      <c r="J17" s="6">
        <f t="shared" si="6"/>
        <v>16802.64</v>
      </c>
    </row>
    <row r="18" spans="2:10" x14ac:dyDescent="0.25">
      <c r="B18" s="1" t="s">
        <v>15</v>
      </c>
      <c r="C18" s="1" t="s">
        <v>21</v>
      </c>
      <c r="D18" s="5">
        <v>44052</v>
      </c>
      <c r="E18" s="5">
        <v>34746</v>
      </c>
      <c r="F18" s="1">
        <v>10140</v>
      </c>
      <c r="G18" s="6">
        <f t="shared" si="0"/>
        <v>3042</v>
      </c>
      <c r="H18" s="6">
        <f t="shared" si="4"/>
        <v>2028</v>
      </c>
      <c r="I18" s="6">
        <f t="shared" si="5"/>
        <v>1216.8</v>
      </c>
      <c r="J18" s="6">
        <f t="shared" si="6"/>
        <v>16426.8</v>
      </c>
    </row>
    <row r="19" spans="2:10" x14ac:dyDescent="0.25">
      <c r="B19" s="1" t="s">
        <v>15</v>
      </c>
      <c r="C19" s="1" t="s">
        <v>25</v>
      </c>
      <c r="D19" s="5">
        <v>44530</v>
      </c>
      <c r="E19" s="5">
        <v>34810</v>
      </c>
      <c r="F19" s="1">
        <v>11731</v>
      </c>
      <c r="G19" s="6">
        <f t="shared" si="0"/>
        <v>3519.2999999999997</v>
      </c>
      <c r="H19" s="6">
        <f t="shared" si="4"/>
        <v>2346.2000000000003</v>
      </c>
      <c r="I19" s="6">
        <f t="shared" si="5"/>
        <v>1407.72</v>
      </c>
      <c r="J19" s="6">
        <f t="shared" si="6"/>
        <v>19004.22</v>
      </c>
    </row>
    <row r="20" spans="2:10" x14ac:dyDescent="0.25">
      <c r="B20" s="1" t="s">
        <v>15</v>
      </c>
      <c r="C20" s="1" t="s">
        <v>23</v>
      </c>
      <c r="D20" s="5">
        <v>43414</v>
      </c>
      <c r="E20" s="5">
        <v>33060</v>
      </c>
      <c r="F20" s="1">
        <v>10899</v>
      </c>
      <c r="G20" s="6">
        <f t="shared" si="0"/>
        <v>3269.7</v>
      </c>
      <c r="H20" s="6">
        <f t="shared" si="4"/>
        <v>2179.8000000000002</v>
      </c>
      <c r="I20" s="6">
        <f t="shared" si="5"/>
        <v>1307.8799999999999</v>
      </c>
      <c r="J20" s="6">
        <f t="shared" si="6"/>
        <v>17656.38</v>
      </c>
    </row>
    <row r="21" spans="2:10" x14ac:dyDescent="0.25">
      <c r="B21" s="1" t="s">
        <v>15</v>
      </c>
      <c r="C21" s="1" t="s">
        <v>34</v>
      </c>
      <c r="D21" s="5">
        <v>44202</v>
      </c>
      <c r="E21" s="5">
        <v>32383</v>
      </c>
      <c r="F21" s="1">
        <v>11119</v>
      </c>
      <c r="G21" s="6">
        <f t="shared" si="0"/>
        <v>3335.7</v>
      </c>
      <c r="H21" s="6">
        <f t="shared" si="4"/>
        <v>2223.8000000000002</v>
      </c>
      <c r="I21" s="6">
        <f t="shared" si="5"/>
        <v>1334.28</v>
      </c>
      <c r="J21" s="6">
        <f t="shared" si="6"/>
        <v>18012.78</v>
      </c>
    </row>
    <row r="22" spans="2:10" x14ac:dyDescent="0.25">
      <c r="B22" s="1" t="s">
        <v>15</v>
      </c>
      <c r="C22" s="1" t="s">
        <v>23</v>
      </c>
      <c r="D22" s="5">
        <v>43828</v>
      </c>
      <c r="E22" s="5">
        <v>33062</v>
      </c>
      <c r="F22" s="1">
        <v>11615</v>
      </c>
      <c r="G22" s="6">
        <f t="shared" si="0"/>
        <v>3484.5</v>
      </c>
      <c r="H22" s="6">
        <f t="shared" si="4"/>
        <v>2323</v>
      </c>
      <c r="I22" s="6">
        <f t="shared" si="5"/>
        <v>1393.8</v>
      </c>
      <c r="J22" s="6">
        <f t="shared" si="6"/>
        <v>18816.3</v>
      </c>
    </row>
    <row r="23" spans="2:10" x14ac:dyDescent="0.25">
      <c r="B23" s="1" t="s">
        <v>15</v>
      </c>
      <c r="C23" s="1" t="s">
        <v>20</v>
      </c>
      <c r="D23" s="5">
        <v>44096</v>
      </c>
      <c r="E23" s="5">
        <v>32584</v>
      </c>
      <c r="F23" s="1">
        <v>10851</v>
      </c>
      <c r="G23" s="6">
        <f t="shared" si="0"/>
        <v>3255.2999999999997</v>
      </c>
      <c r="H23" s="6">
        <f t="shared" si="4"/>
        <v>2170.2000000000003</v>
      </c>
      <c r="I23" s="6">
        <f t="shared" si="5"/>
        <v>1302.1199999999999</v>
      </c>
      <c r="J23" s="6">
        <f t="shared" si="6"/>
        <v>17578.62</v>
      </c>
    </row>
    <row r="24" spans="2:10" x14ac:dyDescent="0.25">
      <c r="B24" s="1" t="s">
        <v>15</v>
      </c>
      <c r="C24" s="1" t="s">
        <v>34</v>
      </c>
      <c r="D24" s="5">
        <v>44691</v>
      </c>
      <c r="E24" s="5">
        <v>33685</v>
      </c>
      <c r="F24" s="1">
        <v>11730</v>
      </c>
      <c r="G24" s="6">
        <f t="shared" si="0"/>
        <v>3519</v>
      </c>
      <c r="H24" s="6">
        <f t="shared" si="4"/>
        <v>2346</v>
      </c>
      <c r="I24" s="6">
        <f t="shared" si="5"/>
        <v>1407.6</v>
      </c>
      <c r="J24" s="6">
        <f t="shared" si="6"/>
        <v>19002.599999999999</v>
      </c>
    </row>
    <row r="25" spans="2:10" x14ac:dyDescent="0.25">
      <c r="B25" s="1" t="s">
        <v>15</v>
      </c>
      <c r="C25" s="1" t="s">
        <v>28</v>
      </c>
      <c r="D25" s="5">
        <v>44352</v>
      </c>
      <c r="E25" s="5">
        <v>33286</v>
      </c>
      <c r="F25" s="1">
        <v>11876</v>
      </c>
      <c r="G25" s="6">
        <f t="shared" si="0"/>
        <v>3562.7999999999997</v>
      </c>
      <c r="H25" s="6">
        <f t="shared" si="4"/>
        <v>2375.2000000000003</v>
      </c>
      <c r="I25" s="6">
        <f t="shared" si="5"/>
        <v>1425.12</v>
      </c>
      <c r="J25" s="6">
        <f t="shared" si="6"/>
        <v>19239.12</v>
      </c>
    </row>
    <row r="26" spans="2:10" x14ac:dyDescent="0.25">
      <c r="B26" s="1" t="s">
        <v>15</v>
      </c>
      <c r="C26" s="1" t="s">
        <v>31</v>
      </c>
      <c r="D26" s="5">
        <v>43678</v>
      </c>
      <c r="E26" s="5">
        <v>33312</v>
      </c>
      <c r="F26" s="1">
        <v>10377</v>
      </c>
      <c r="G26" s="6">
        <f t="shared" si="0"/>
        <v>3113.1</v>
      </c>
      <c r="H26" s="6">
        <f t="shared" si="4"/>
        <v>2075.4</v>
      </c>
      <c r="I26" s="6">
        <f t="shared" si="5"/>
        <v>1245.24</v>
      </c>
      <c r="J26" s="6">
        <f t="shared" si="6"/>
        <v>16810.740000000002</v>
      </c>
    </row>
    <row r="27" spans="2:10" x14ac:dyDescent="0.25">
      <c r="B27" s="1" t="s">
        <v>15</v>
      </c>
      <c r="C27" s="1" t="s">
        <v>21</v>
      </c>
      <c r="D27" s="5">
        <v>44638</v>
      </c>
      <c r="E27" s="5">
        <v>32400</v>
      </c>
      <c r="F27" s="1">
        <v>11497</v>
      </c>
      <c r="G27" s="6">
        <f t="shared" si="0"/>
        <v>3449.1</v>
      </c>
      <c r="H27" s="6">
        <f t="shared" si="4"/>
        <v>2299.4</v>
      </c>
      <c r="I27" s="6">
        <f t="shared" si="5"/>
        <v>1379.6399999999999</v>
      </c>
      <c r="J27" s="6">
        <f t="shared" si="6"/>
        <v>18625.14</v>
      </c>
    </row>
    <row r="28" spans="2:10" x14ac:dyDescent="0.25">
      <c r="B28" s="1" t="s">
        <v>15</v>
      </c>
      <c r="C28" s="1" t="s">
        <v>35</v>
      </c>
      <c r="D28" s="5">
        <v>43664</v>
      </c>
      <c r="E28" s="5">
        <v>33311</v>
      </c>
      <c r="F28" s="1">
        <v>10629</v>
      </c>
      <c r="G28" s="6">
        <f t="shared" si="0"/>
        <v>3188.7</v>
      </c>
      <c r="H28" s="6">
        <f t="shared" si="4"/>
        <v>2125.8000000000002</v>
      </c>
      <c r="I28" s="6">
        <f t="shared" si="5"/>
        <v>1275.48</v>
      </c>
      <c r="J28" s="6">
        <f t="shared" si="6"/>
        <v>17218.98</v>
      </c>
    </row>
    <row r="29" spans="2:10" x14ac:dyDescent="0.25">
      <c r="B29" s="1" t="s">
        <v>15</v>
      </c>
      <c r="C29" s="1" t="s">
        <v>37</v>
      </c>
      <c r="D29" s="5">
        <v>44155</v>
      </c>
      <c r="E29" s="5">
        <v>34236</v>
      </c>
      <c r="F29" s="1">
        <v>11345</v>
      </c>
      <c r="G29" s="6">
        <f t="shared" si="0"/>
        <v>3403.5</v>
      </c>
      <c r="H29" s="6">
        <f t="shared" si="4"/>
        <v>2269</v>
      </c>
      <c r="I29" s="6">
        <f t="shared" si="5"/>
        <v>1361.3999999999999</v>
      </c>
      <c r="J29" s="6">
        <f t="shared" si="6"/>
        <v>18378.900000000001</v>
      </c>
    </row>
    <row r="30" spans="2:10" x14ac:dyDescent="0.25">
      <c r="B30" s="1" t="s">
        <v>15</v>
      </c>
      <c r="C30" s="1" t="s">
        <v>35</v>
      </c>
      <c r="D30" s="5">
        <v>43681</v>
      </c>
      <c r="E30" s="5">
        <v>34087</v>
      </c>
      <c r="F30" s="1">
        <v>10970</v>
      </c>
      <c r="G30" s="6">
        <f t="shared" si="0"/>
        <v>3291</v>
      </c>
      <c r="H30" s="6">
        <f t="shared" si="4"/>
        <v>2194</v>
      </c>
      <c r="I30" s="6">
        <f t="shared" si="5"/>
        <v>1316.3999999999999</v>
      </c>
      <c r="J30" s="6">
        <f t="shared" si="6"/>
        <v>17771.400000000001</v>
      </c>
    </row>
    <row r="31" spans="2:10" x14ac:dyDescent="0.25">
      <c r="B31" s="1" t="s">
        <v>15</v>
      </c>
      <c r="C31" s="1" t="s">
        <v>38</v>
      </c>
      <c r="D31" s="5">
        <v>43604</v>
      </c>
      <c r="E31" s="5">
        <v>33048</v>
      </c>
      <c r="F31" s="1">
        <v>10372</v>
      </c>
      <c r="G31" s="6">
        <f t="shared" si="0"/>
        <v>3111.6</v>
      </c>
      <c r="H31" s="6">
        <f t="shared" si="4"/>
        <v>2074.4</v>
      </c>
      <c r="I31" s="6">
        <f t="shared" si="5"/>
        <v>1244.6399999999999</v>
      </c>
      <c r="J31" s="6">
        <f t="shared" si="6"/>
        <v>16802.64</v>
      </c>
    </row>
    <row r="32" spans="2:10" x14ac:dyDescent="0.25">
      <c r="B32" s="1" t="s">
        <v>15</v>
      </c>
      <c r="C32" s="1" t="s">
        <v>30</v>
      </c>
      <c r="D32" s="5">
        <v>43266</v>
      </c>
      <c r="E32" s="5">
        <v>34600</v>
      </c>
      <c r="F32" s="1">
        <v>11151</v>
      </c>
      <c r="G32" s="6">
        <f t="shared" si="0"/>
        <v>3345.2999999999997</v>
      </c>
      <c r="H32" s="6">
        <f t="shared" si="4"/>
        <v>2230.2000000000003</v>
      </c>
      <c r="I32" s="6">
        <f t="shared" si="5"/>
        <v>1338.12</v>
      </c>
      <c r="J32" s="6">
        <f t="shared" si="6"/>
        <v>18064.62</v>
      </c>
    </row>
    <row r="33" spans="2:10" x14ac:dyDescent="0.25">
      <c r="B33" s="1" t="s">
        <v>15</v>
      </c>
      <c r="C33" s="1" t="s">
        <v>35</v>
      </c>
      <c r="D33" s="5">
        <v>43836</v>
      </c>
      <c r="E33" s="5">
        <v>32906</v>
      </c>
      <c r="F33" s="1">
        <v>11130</v>
      </c>
      <c r="G33" s="6">
        <f t="shared" si="0"/>
        <v>3339</v>
      </c>
      <c r="H33" s="6">
        <f t="shared" si="4"/>
        <v>2226</v>
      </c>
      <c r="I33" s="6">
        <f t="shared" si="5"/>
        <v>1335.6</v>
      </c>
      <c r="J33" s="6">
        <f t="shared" si="6"/>
        <v>18030.599999999999</v>
      </c>
    </row>
    <row r="34" spans="2:10" x14ac:dyDescent="0.25">
      <c r="B34" s="1" t="s">
        <v>15</v>
      </c>
      <c r="C34" s="1" t="s">
        <v>34</v>
      </c>
      <c r="D34" s="5">
        <v>44284</v>
      </c>
      <c r="E34" s="5">
        <v>32949</v>
      </c>
      <c r="F34" s="1">
        <v>10613</v>
      </c>
      <c r="G34" s="6">
        <f t="shared" si="0"/>
        <v>3183.9</v>
      </c>
      <c r="H34" s="6">
        <f t="shared" si="4"/>
        <v>2122.6</v>
      </c>
      <c r="I34" s="6">
        <f t="shared" si="5"/>
        <v>1273.56</v>
      </c>
      <c r="J34" s="6">
        <f t="shared" si="6"/>
        <v>17193.060000000001</v>
      </c>
    </row>
    <row r="35" spans="2:10" x14ac:dyDescent="0.25">
      <c r="B35" s="1" t="s">
        <v>15</v>
      </c>
      <c r="C35" s="1" t="s">
        <v>26</v>
      </c>
      <c r="D35" s="5">
        <v>43650</v>
      </c>
      <c r="E35" s="5">
        <v>32491</v>
      </c>
      <c r="F35" s="1">
        <v>11289</v>
      </c>
      <c r="G35" s="6">
        <f t="shared" si="0"/>
        <v>3386.7</v>
      </c>
      <c r="H35" s="6">
        <f t="shared" si="4"/>
        <v>2257.8000000000002</v>
      </c>
      <c r="I35" s="6">
        <f t="shared" si="5"/>
        <v>1354.6799999999998</v>
      </c>
      <c r="J35" s="6">
        <f t="shared" si="6"/>
        <v>18288.18</v>
      </c>
    </row>
    <row r="36" spans="2:10" x14ac:dyDescent="0.25">
      <c r="B36" s="1" t="s">
        <v>15</v>
      </c>
      <c r="C36" s="1" t="s">
        <v>29</v>
      </c>
      <c r="D36" s="5">
        <v>44754</v>
      </c>
      <c r="E36" s="5">
        <v>32796</v>
      </c>
      <c r="F36" s="1">
        <v>11331</v>
      </c>
      <c r="G36" s="6">
        <f t="shared" si="0"/>
        <v>3399.2999999999997</v>
      </c>
      <c r="H36" s="6">
        <f t="shared" si="4"/>
        <v>2266.2000000000003</v>
      </c>
      <c r="I36" s="6">
        <f t="shared" si="5"/>
        <v>1359.72</v>
      </c>
      <c r="J36" s="6">
        <f t="shared" si="6"/>
        <v>18356.22</v>
      </c>
    </row>
    <row r="37" spans="2:10" x14ac:dyDescent="0.25">
      <c r="B37" s="1" t="s">
        <v>15</v>
      </c>
      <c r="C37" s="1" t="s">
        <v>0</v>
      </c>
      <c r="D37" s="5">
        <v>44530</v>
      </c>
      <c r="E37" s="5">
        <v>34971</v>
      </c>
      <c r="F37" s="1">
        <v>10446</v>
      </c>
      <c r="G37" s="6">
        <f t="shared" si="0"/>
        <v>3133.7999999999997</v>
      </c>
      <c r="H37" s="6">
        <f t="shared" si="4"/>
        <v>2089.2000000000003</v>
      </c>
      <c r="I37" s="6">
        <f t="shared" si="5"/>
        <v>1253.52</v>
      </c>
      <c r="J37" s="6">
        <f t="shared" si="6"/>
        <v>16922.52</v>
      </c>
    </row>
    <row r="38" spans="2:10" x14ac:dyDescent="0.25">
      <c r="B38" s="1" t="s">
        <v>15</v>
      </c>
      <c r="C38" s="1" t="s">
        <v>27</v>
      </c>
      <c r="D38" s="5">
        <v>43950</v>
      </c>
      <c r="E38" s="5">
        <v>33011</v>
      </c>
      <c r="F38" s="1">
        <v>11590</v>
      </c>
      <c r="G38" s="6">
        <f t="shared" si="0"/>
        <v>3477</v>
      </c>
      <c r="H38" s="6">
        <f t="shared" si="4"/>
        <v>2318</v>
      </c>
      <c r="I38" s="6">
        <f t="shared" si="5"/>
        <v>1390.8</v>
      </c>
      <c r="J38" s="6">
        <f t="shared" si="6"/>
        <v>18775.8</v>
      </c>
    </row>
    <row r="39" spans="2:10" x14ac:dyDescent="0.25">
      <c r="B39" s="1" t="s">
        <v>15</v>
      </c>
      <c r="C39" s="1" t="s">
        <v>20</v>
      </c>
      <c r="D39" s="5">
        <v>44362</v>
      </c>
      <c r="E39" s="5">
        <v>35054</v>
      </c>
      <c r="F39" s="1">
        <v>10755</v>
      </c>
      <c r="G39" s="6">
        <f t="shared" si="0"/>
        <v>3226.5</v>
      </c>
      <c r="H39" s="6">
        <f t="shared" si="4"/>
        <v>2151</v>
      </c>
      <c r="I39" s="6">
        <f t="shared" si="5"/>
        <v>1290.5999999999999</v>
      </c>
      <c r="J39" s="6">
        <f t="shared" si="6"/>
        <v>17423.099999999999</v>
      </c>
    </row>
    <row r="40" spans="2:10" x14ac:dyDescent="0.25">
      <c r="B40" s="1" t="s">
        <v>15</v>
      </c>
      <c r="C40" s="1" t="s">
        <v>38</v>
      </c>
      <c r="D40" s="5">
        <v>43951</v>
      </c>
      <c r="E40" s="5">
        <v>34587</v>
      </c>
      <c r="F40" s="1">
        <v>10346</v>
      </c>
      <c r="G40" s="6">
        <f t="shared" si="0"/>
        <v>3103.7999999999997</v>
      </c>
      <c r="H40" s="6">
        <f t="shared" si="4"/>
        <v>2069.2000000000003</v>
      </c>
      <c r="I40" s="6">
        <f t="shared" si="5"/>
        <v>1241.52</v>
      </c>
      <c r="J40" s="6">
        <f t="shared" si="6"/>
        <v>16760.52</v>
      </c>
    </row>
    <row r="41" spans="2:10" x14ac:dyDescent="0.25">
      <c r="B41" s="1" t="s">
        <v>15</v>
      </c>
      <c r="C41" s="1" t="s">
        <v>21</v>
      </c>
      <c r="D41" s="5">
        <v>43809</v>
      </c>
      <c r="E41" s="5">
        <v>34704</v>
      </c>
      <c r="F41" s="1">
        <v>10845</v>
      </c>
      <c r="G41" s="6">
        <f t="shared" si="0"/>
        <v>3253.5</v>
      </c>
      <c r="H41" s="6">
        <f t="shared" si="4"/>
        <v>2169</v>
      </c>
      <c r="I41" s="6">
        <f t="shared" si="5"/>
        <v>1301.3999999999999</v>
      </c>
      <c r="J41" s="6">
        <f t="shared" si="6"/>
        <v>17568.900000000001</v>
      </c>
    </row>
    <row r="42" spans="2:10" x14ac:dyDescent="0.25">
      <c r="B42" s="1" t="s">
        <v>15</v>
      </c>
      <c r="C42" s="1" t="s">
        <v>30</v>
      </c>
      <c r="D42" s="5">
        <v>43600</v>
      </c>
      <c r="E42" s="5">
        <v>33077</v>
      </c>
      <c r="F42" s="1">
        <v>11233</v>
      </c>
      <c r="G42" s="6">
        <f t="shared" si="0"/>
        <v>3369.9</v>
      </c>
      <c r="H42" s="6">
        <f t="shared" si="4"/>
        <v>2246.6</v>
      </c>
      <c r="I42" s="6">
        <f t="shared" si="5"/>
        <v>1347.96</v>
      </c>
      <c r="J42" s="6">
        <f t="shared" si="6"/>
        <v>18197.46</v>
      </c>
    </row>
    <row r="43" spans="2:10" x14ac:dyDescent="0.25">
      <c r="B43" s="1" t="s">
        <v>15</v>
      </c>
      <c r="C43" s="1" t="s">
        <v>30</v>
      </c>
      <c r="D43" s="5">
        <v>44021</v>
      </c>
      <c r="E43" s="5">
        <v>32753</v>
      </c>
      <c r="F43" s="1">
        <v>11660</v>
      </c>
      <c r="G43" s="6">
        <f t="shared" si="0"/>
        <v>3498</v>
      </c>
      <c r="H43" s="6">
        <f t="shared" si="4"/>
        <v>2332</v>
      </c>
      <c r="I43" s="6">
        <f t="shared" si="5"/>
        <v>1399.2</v>
      </c>
      <c r="J43" s="6">
        <f t="shared" si="6"/>
        <v>18889.2</v>
      </c>
    </row>
    <row r="44" spans="2:10" x14ac:dyDescent="0.25">
      <c r="B44" s="1" t="s">
        <v>15</v>
      </c>
      <c r="C44" s="1" t="s">
        <v>20</v>
      </c>
      <c r="D44" s="5">
        <v>43425</v>
      </c>
      <c r="E44" s="5">
        <v>33505</v>
      </c>
      <c r="F44" s="1">
        <v>10825</v>
      </c>
      <c r="G44" s="6">
        <f t="shared" si="0"/>
        <v>3247.5</v>
      </c>
      <c r="H44" s="6">
        <f t="shared" si="4"/>
        <v>2165</v>
      </c>
      <c r="I44" s="6">
        <f t="shared" si="5"/>
        <v>1299</v>
      </c>
      <c r="J44" s="6">
        <f t="shared" si="6"/>
        <v>17536.5</v>
      </c>
    </row>
    <row r="45" spans="2:10" x14ac:dyDescent="0.25">
      <c r="B45" s="1" t="s">
        <v>15</v>
      </c>
      <c r="C45" s="1" t="s">
        <v>27</v>
      </c>
      <c r="D45" s="5">
        <v>43821</v>
      </c>
      <c r="E45" s="5">
        <v>32658</v>
      </c>
      <c r="F45" s="1">
        <v>11864</v>
      </c>
      <c r="G45" s="6">
        <f t="shared" si="0"/>
        <v>3559.2</v>
      </c>
      <c r="H45" s="6">
        <f t="shared" si="4"/>
        <v>2372.8000000000002</v>
      </c>
      <c r="I45" s="6">
        <f t="shared" si="5"/>
        <v>1423.6799999999998</v>
      </c>
      <c r="J45" s="6">
        <f t="shared" si="6"/>
        <v>19219.68</v>
      </c>
    </row>
    <row r="46" spans="2:10" x14ac:dyDescent="0.25">
      <c r="B46" s="1" t="s">
        <v>15</v>
      </c>
      <c r="C46" s="1" t="s">
        <v>22</v>
      </c>
      <c r="D46" s="5">
        <v>43784</v>
      </c>
      <c r="E46" s="5">
        <v>33003</v>
      </c>
      <c r="F46" s="1">
        <v>11023</v>
      </c>
      <c r="G46" s="6">
        <f t="shared" si="0"/>
        <v>3306.9</v>
      </c>
      <c r="H46" s="6">
        <f t="shared" si="4"/>
        <v>2204.6</v>
      </c>
      <c r="I46" s="6">
        <f t="shared" si="5"/>
        <v>1322.76</v>
      </c>
      <c r="J46" s="6">
        <f t="shared" si="6"/>
        <v>17857.259999999998</v>
      </c>
    </row>
    <row r="47" spans="2:10" x14ac:dyDescent="0.25">
      <c r="B47" s="1" t="s">
        <v>15</v>
      </c>
      <c r="C47" s="1" t="s">
        <v>30</v>
      </c>
      <c r="D47" s="5">
        <v>44765</v>
      </c>
      <c r="E47" s="5">
        <v>32175</v>
      </c>
      <c r="F47" s="1">
        <v>10843</v>
      </c>
      <c r="G47" s="6">
        <f t="shared" si="0"/>
        <v>3252.9</v>
      </c>
      <c r="H47" s="6">
        <f t="shared" si="4"/>
        <v>2168.6</v>
      </c>
      <c r="I47" s="6">
        <f t="shared" si="5"/>
        <v>1301.1599999999999</v>
      </c>
      <c r="J47" s="6">
        <f t="shared" si="6"/>
        <v>17565.66</v>
      </c>
    </row>
    <row r="48" spans="2:10" x14ac:dyDescent="0.25">
      <c r="B48" s="1" t="s">
        <v>15</v>
      </c>
      <c r="C48" s="1" t="s">
        <v>25</v>
      </c>
      <c r="D48" s="5">
        <v>43494</v>
      </c>
      <c r="E48" s="5">
        <v>34598</v>
      </c>
      <c r="F48" s="1">
        <v>10018</v>
      </c>
      <c r="G48" s="6">
        <f t="shared" si="0"/>
        <v>3005.4</v>
      </c>
      <c r="H48" s="6">
        <f t="shared" si="4"/>
        <v>2003.6000000000001</v>
      </c>
      <c r="I48" s="6">
        <f t="shared" si="5"/>
        <v>1202.1599999999999</v>
      </c>
      <c r="J48" s="6">
        <f t="shared" si="6"/>
        <v>16229.16</v>
      </c>
    </row>
    <row r="49" spans="2:10" x14ac:dyDescent="0.25">
      <c r="B49" s="1" t="s">
        <v>15</v>
      </c>
      <c r="C49" s="1" t="s">
        <v>38</v>
      </c>
      <c r="D49" s="5">
        <v>43846</v>
      </c>
      <c r="E49" s="5">
        <v>33430</v>
      </c>
      <c r="F49" s="1">
        <v>11789</v>
      </c>
      <c r="G49" s="6">
        <f t="shared" si="0"/>
        <v>3536.7</v>
      </c>
      <c r="H49" s="6">
        <f t="shared" si="4"/>
        <v>2357.8000000000002</v>
      </c>
      <c r="I49" s="6">
        <f t="shared" si="5"/>
        <v>1414.6799999999998</v>
      </c>
      <c r="J49" s="6">
        <f t="shared" si="6"/>
        <v>19098.18</v>
      </c>
    </row>
    <row r="50" spans="2:10" x14ac:dyDescent="0.25">
      <c r="B50" s="1" t="s">
        <v>15</v>
      </c>
      <c r="C50" s="1" t="s">
        <v>23</v>
      </c>
      <c r="D50" s="5">
        <v>43176</v>
      </c>
      <c r="E50" s="5">
        <v>34156</v>
      </c>
      <c r="F50" s="1">
        <v>10442</v>
      </c>
      <c r="G50" s="6">
        <f t="shared" si="0"/>
        <v>3132.6</v>
      </c>
      <c r="H50" s="6">
        <f t="shared" si="4"/>
        <v>2088.4</v>
      </c>
      <c r="I50" s="6">
        <f t="shared" si="5"/>
        <v>1253.04</v>
      </c>
      <c r="J50" s="6">
        <f t="shared" si="6"/>
        <v>16916.04</v>
      </c>
    </row>
    <row r="51" spans="2:10" x14ac:dyDescent="0.25">
      <c r="B51" s="1" t="s">
        <v>15</v>
      </c>
      <c r="C51" s="1" t="s">
        <v>26</v>
      </c>
      <c r="D51" s="5">
        <v>43384</v>
      </c>
      <c r="E51" s="5">
        <v>34546</v>
      </c>
      <c r="F51" s="1">
        <v>10732</v>
      </c>
      <c r="G51" s="6">
        <f t="shared" si="0"/>
        <v>3219.6</v>
      </c>
      <c r="H51" s="6">
        <f t="shared" si="4"/>
        <v>2146.4</v>
      </c>
      <c r="I51" s="6">
        <f t="shared" si="5"/>
        <v>1287.8399999999999</v>
      </c>
      <c r="J51" s="6">
        <f t="shared" si="6"/>
        <v>17385.84</v>
      </c>
    </row>
    <row r="52" spans="2:10" x14ac:dyDescent="0.25">
      <c r="B52" s="1" t="s">
        <v>15</v>
      </c>
      <c r="C52" s="1" t="s">
        <v>37</v>
      </c>
      <c r="D52" s="5">
        <v>43953</v>
      </c>
      <c r="E52" s="5">
        <v>33539</v>
      </c>
      <c r="F52" s="1">
        <v>11467</v>
      </c>
      <c r="G52" s="6">
        <f t="shared" si="0"/>
        <v>3440.1</v>
      </c>
      <c r="H52" s="6">
        <f t="shared" si="4"/>
        <v>2293.4</v>
      </c>
      <c r="I52" s="6">
        <f t="shared" si="5"/>
        <v>1376.04</v>
      </c>
      <c r="J52" s="6">
        <f t="shared" si="6"/>
        <v>18576.54</v>
      </c>
    </row>
    <row r="53" spans="2:10" x14ac:dyDescent="0.25">
      <c r="B53" s="1" t="s">
        <v>15</v>
      </c>
      <c r="C53" s="1" t="s">
        <v>24</v>
      </c>
      <c r="D53" s="5">
        <v>44716</v>
      </c>
      <c r="E53" s="5">
        <v>32367</v>
      </c>
      <c r="F53" s="1">
        <v>11691</v>
      </c>
      <c r="G53" s="6">
        <f t="shared" si="0"/>
        <v>3507.2999999999997</v>
      </c>
      <c r="H53" s="6">
        <f t="shared" si="4"/>
        <v>2338.2000000000003</v>
      </c>
      <c r="I53" s="6">
        <f t="shared" si="5"/>
        <v>1402.9199999999998</v>
      </c>
      <c r="J53" s="6">
        <f t="shared" si="6"/>
        <v>18939.419999999998</v>
      </c>
    </row>
    <row r="54" spans="2:10" x14ac:dyDescent="0.25">
      <c r="B54" s="1" t="s">
        <v>15</v>
      </c>
      <c r="C54" s="1" t="s">
        <v>30</v>
      </c>
      <c r="D54" s="5">
        <v>43516</v>
      </c>
      <c r="E54" s="5">
        <v>34302</v>
      </c>
      <c r="F54" s="1">
        <v>11161</v>
      </c>
      <c r="G54" s="6">
        <f t="shared" si="0"/>
        <v>3348.2999999999997</v>
      </c>
      <c r="H54" s="6">
        <f t="shared" si="4"/>
        <v>2232.2000000000003</v>
      </c>
      <c r="I54" s="6">
        <f t="shared" si="5"/>
        <v>1339.32</v>
      </c>
      <c r="J54" s="6">
        <f t="shared" si="6"/>
        <v>18080.82</v>
      </c>
    </row>
    <row r="55" spans="2:10" x14ac:dyDescent="0.25">
      <c r="B55" s="1" t="s">
        <v>15</v>
      </c>
      <c r="C55" s="1" t="s">
        <v>24</v>
      </c>
      <c r="D55" s="5">
        <v>43613</v>
      </c>
      <c r="E55" s="5">
        <v>32893</v>
      </c>
      <c r="F55" s="1">
        <v>10840</v>
      </c>
      <c r="G55" s="6">
        <f t="shared" si="0"/>
        <v>3252</v>
      </c>
      <c r="H55" s="6">
        <f t="shared" si="4"/>
        <v>2168</v>
      </c>
      <c r="I55" s="6">
        <f t="shared" si="5"/>
        <v>1300.8</v>
      </c>
      <c r="J55" s="6">
        <f t="shared" si="6"/>
        <v>17560.8</v>
      </c>
    </row>
    <row r="56" spans="2:10" x14ac:dyDescent="0.25">
      <c r="B56" s="1" t="s">
        <v>15</v>
      </c>
      <c r="C56" s="1" t="s">
        <v>30</v>
      </c>
      <c r="D56" s="5">
        <v>43993</v>
      </c>
      <c r="E56" s="5">
        <v>34569</v>
      </c>
      <c r="F56" s="1">
        <v>11662</v>
      </c>
      <c r="G56" s="6">
        <f t="shared" si="0"/>
        <v>3498.6</v>
      </c>
      <c r="H56" s="6">
        <f t="shared" si="4"/>
        <v>2332.4</v>
      </c>
      <c r="I56" s="6">
        <f t="shared" si="5"/>
        <v>1399.44</v>
      </c>
      <c r="J56" s="6">
        <f t="shared" si="6"/>
        <v>18892.439999999999</v>
      </c>
    </row>
    <row r="57" spans="2:10" x14ac:dyDescent="0.25">
      <c r="B57" s="1" t="s">
        <v>15</v>
      </c>
      <c r="C57" s="1" t="s">
        <v>30</v>
      </c>
      <c r="D57" s="5">
        <v>43420</v>
      </c>
      <c r="E57" s="5">
        <v>34039</v>
      </c>
      <c r="F57" s="1">
        <v>11180</v>
      </c>
      <c r="G57" s="6">
        <f t="shared" si="0"/>
        <v>3354</v>
      </c>
      <c r="H57" s="6">
        <f t="shared" si="4"/>
        <v>2236</v>
      </c>
      <c r="I57" s="6">
        <f t="shared" si="5"/>
        <v>1341.6</v>
      </c>
      <c r="J57" s="6">
        <f t="shared" si="6"/>
        <v>18111.599999999999</v>
      </c>
    </row>
    <row r="58" spans="2:10" x14ac:dyDescent="0.25">
      <c r="B58" s="1" t="s">
        <v>15</v>
      </c>
      <c r="C58" s="1" t="s">
        <v>33</v>
      </c>
      <c r="D58" s="5">
        <v>43624</v>
      </c>
      <c r="E58" s="5">
        <v>33784</v>
      </c>
      <c r="F58" s="1">
        <v>11172</v>
      </c>
      <c r="G58" s="6">
        <f t="shared" si="0"/>
        <v>3351.6</v>
      </c>
      <c r="H58" s="6">
        <f t="shared" si="4"/>
        <v>2234.4</v>
      </c>
      <c r="I58" s="6">
        <f t="shared" si="5"/>
        <v>1340.6399999999999</v>
      </c>
      <c r="J58" s="6">
        <f t="shared" si="6"/>
        <v>18098.64</v>
      </c>
    </row>
    <row r="59" spans="2:10" x14ac:dyDescent="0.25">
      <c r="B59" s="1" t="s">
        <v>15</v>
      </c>
      <c r="C59" s="1" t="s">
        <v>24</v>
      </c>
      <c r="D59" s="5">
        <v>43268</v>
      </c>
      <c r="E59" s="5">
        <v>34420</v>
      </c>
      <c r="F59" s="1">
        <v>10322</v>
      </c>
      <c r="G59" s="6">
        <f t="shared" si="0"/>
        <v>3096.6</v>
      </c>
      <c r="H59" s="6">
        <f t="shared" si="4"/>
        <v>2064.4</v>
      </c>
      <c r="I59" s="6">
        <f t="shared" si="5"/>
        <v>1238.6399999999999</v>
      </c>
      <c r="J59" s="6">
        <f t="shared" si="6"/>
        <v>16721.64</v>
      </c>
    </row>
    <row r="60" spans="2:10" x14ac:dyDescent="0.25">
      <c r="B60" s="1" t="s">
        <v>15</v>
      </c>
      <c r="C60" s="1" t="s">
        <v>33</v>
      </c>
      <c r="D60" s="5">
        <v>43805</v>
      </c>
      <c r="E60" s="5">
        <v>32804</v>
      </c>
      <c r="F60" s="1">
        <v>11672</v>
      </c>
      <c r="G60" s="6">
        <f t="shared" si="0"/>
        <v>3501.6</v>
      </c>
      <c r="H60" s="6">
        <f t="shared" si="4"/>
        <v>2334.4</v>
      </c>
      <c r="I60" s="6">
        <f t="shared" si="5"/>
        <v>1400.6399999999999</v>
      </c>
      <c r="J60" s="6">
        <f t="shared" si="6"/>
        <v>18908.64</v>
      </c>
    </row>
    <row r="61" spans="2:10" x14ac:dyDescent="0.25">
      <c r="B61" s="1" t="s">
        <v>15</v>
      </c>
      <c r="C61" s="1" t="s">
        <v>0</v>
      </c>
      <c r="D61" s="5">
        <v>44248</v>
      </c>
      <c r="E61" s="5">
        <v>33569</v>
      </c>
      <c r="F61" s="1">
        <v>11727</v>
      </c>
      <c r="G61" s="6">
        <f t="shared" si="0"/>
        <v>3518.1</v>
      </c>
      <c r="H61" s="6">
        <f t="shared" si="4"/>
        <v>2345.4</v>
      </c>
      <c r="I61" s="6">
        <f t="shared" si="5"/>
        <v>1407.24</v>
      </c>
      <c r="J61" s="6">
        <f t="shared" si="6"/>
        <v>18997.740000000002</v>
      </c>
    </row>
    <row r="62" spans="2:10" x14ac:dyDescent="0.25">
      <c r="B62" s="1" t="s">
        <v>15</v>
      </c>
      <c r="C62" s="1" t="s">
        <v>22</v>
      </c>
      <c r="D62" s="5">
        <v>44156</v>
      </c>
      <c r="E62" s="5">
        <v>33830</v>
      </c>
      <c r="F62" s="1">
        <v>11341</v>
      </c>
      <c r="G62" s="6">
        <f t="shared" si="0"/>
        <v>3402.2999999999997</v>
      </c>
      <c r="H62" s="6">
        <f t="shared" si="4"/>
        <v>2268.2000000000003</v>
      </c>
      <c r="I62" s="6">
        <f t="shared" si="5"/>
        <v>1360.9199999999998</v>
      </c>
      <c r="J62" s="6">
        <f t="shared" si="6"/>
        <v>18372.419999999998</v>
      </c>
    </row>
    <row r="63" spans="2:10" x14ac:dyDescent="0.25">
      <c r="B63" s="1" t="s">
        <v>15</v>
      </c>
      <c r="C63" s="1" t="s">
        <v>23</v>
      </c>
      <c r="D63" s="5">
        <v>43181</v>
      </c>
      <c r="E63" s="5">
        <v>33622</v>
      </c>
      <c r="F63" s="1">
        <v>11410</v>
      </c>
      <c r="G63" s="6">
        <f t="shared" si="0"/>
        <v>3423</v>
      </c>
      <c r="H63" s="6">
        <f t="shared" si="4"/>
        <v>2282</v>
      </c>
      <c r="I63" s="6">
        <f t="shared" si="5"/>
        <v>1369.2</v>
      </c>
      <c r="J63" s="6">
        <f t="shared" si="6"/>
        <v>18484.2</v>
      </c>
    </row>
    <row r="64" spans="2:10" x14ac:dyDescent="0.25">
      <c r="B64" s="1" t="s">
        <v>15</v>
      </c>
      <c r="C64" s="1" t="s">
        <v>37</v>
      </c>
      <c r="D64" s="5">
        <v>44768</v>
      </c>
      <c r="E64" s="5">
        <v>34752</v>
      </c>
      <c r="F64" s="1">
        <v>10889</v>
      </c>
      <c r="G64" s="6">
        <f t="shared" si="0"/>
        <v>3266.7</v>
      </c>
      <c r="H64" s="6">
        <f t="shared" si="4"/>
        <v>2177.8000000000002</v>
      </c>
      <c r="I64" s="6">
        <f t="shared" si="5"/>
        <v>1306.68</v>
      </c>
      <c r="J64" s="6">
        <f t="shared" si="6"/>
        <v>17640.18</v>
      </c>
    </row>
    <row r="65" spans="2:10" x14ac:dyDescent="0.25">
      <c r="B65" s="1" t="s">
        <v>15</v>
      </c>
      <c r="C65" s="1" t="s">
        <v>32</v>
      </c>
      <c r="D65" s="5">
        <v>43526</v>
      </c>
      <c r="E65" s="5">
        <v>32846</v>
      </c>
      <c r="F65" s="1">
        <v>10178</v>
      </c>
      <c r="G65" s="6">
        <f t="shared" si="0"/>
        <v>3053.4</v>
      </c>
      <c r="H65" s="6">
        <f t="shared" si="4"/>
        <v>2035.6000000000001</v>
      </c>
      <c r="I65" s="6">
        <f t="shared" si="5"/>
        <v>1221.3599999999999</v>
      </c>
      <c r="J65" s="6">
        <f t="shared" si="6"/>
        <v>16488.36</v>
      </c>
    </row>
    <row r="66" spans="2:10" x14ac:dyDescent="0.25">
      <c r="B66" s="1" t="s">
        <v>15</v>
      </c>
      <c r="C66" s="1" t="s">
        <v>36</v>
      </c>
      <c r="D66" s="5">
        <v>44028</v>
      </c>
      <c r="E66" s="5">
        <v>34479</v>
      </c>
      <c r="F66" s="1">
        <v>10475</v>
      </c>
      <c r="G66" s="6">
        <f t="shared" si="0"/>
        <v>3142.5</v>
      </c>
      <c r="H66" s="6">
        <f t="shared" si="4"/>
        <v>2095</v>
      </c>
      <c r="I66" s="6">
        <f t="shared" si="5"/>
        <v>1257</v>
      </c>
      <c r="J66" s="6">
        <f t="shared" si="6"/>
        <v>16969.5</v>
      </c>
    </row>
    <row r="67" spans="2:10" x14ac:dyDescent="0.25">
      <c r="B67" s="1" t="s">
        <v>15</v>
      </c>
      <c r="C67" s="1" t="s">
        <v>30</v>
      </c>
      <c r="D67" s="5">
        <v>43423</v>
      </c>
      <c r="E67" s="5">
        <v>32472</v>
      </c>
      <c r="F67" s="1">
        <v>10646</v>
      </c>
      <c r="G67" s="6">
        <f t="shared" si="0"/>
        <v>3193.7999999999997</v>
      </c>
      <c r="H67" s="6">
        <f t="shared" si="4"/>
        <v>2129.2000000000003</v>
      </c>
      <c r="I67" s="6">
        <f t="shared" si="5"/>
        <v>1277.52</v>
      </c>
      <c r="J67" s="6">
        <f t="shared" si="6"/>
        <v>17246.52</v>
      </c>
    </row>
    <row r="68" spans="2:10" x14ac:dyDescent="0.25">
      <c r="B68" s="1" t="s">
        <v>15</v>
      </c>
      <c r="C68" s="1" t="s">
        <v>0</v>
      </c>
      <c r="D68" s="5">
        <v>44210</v>
      </c>
      <c r="E68" s="5">
        <v>34118</v>
      </c>
      <c r="F68" s="1">
        <v>10400</v>
      </c>
      <c r="G68" s="6">
        <f t="shared" si="0"/>
        <v>3120</v>
      </c>
      <c r="H68" s="6">
        <f t="shared" si="4"/>
        <v>2080</v>
      </c>
      <c r="I68" s="6">
        <f t="shared" si="5"/>
        <v>1248</v>
      </c>
      <c r="J68" s="6">
        <f t="shared" si="6"/>
        <v>16848</v>
      </c>
    </row>
    <row r="69" spans="2:10" x14ac:dyDescent="0.25">
      <c r="B69" s="1" t="s">
        <v>15</v>
      </c>
      <c r="C69" s="1" t="s">
        <v>26</v>
      </c>
      <c r="D69" s="5">
        <v>43659</v>
      </c>
      <c r="E69" s="5">
        <v>33142</v>
      </c>
      <c r="F69" s="1">
        <v>11595</v>
      </c>
      <c r="G69" s="6">
        <f t="shared" si="0"/>
        <v>3478.5</v>
      </c>
      <c r="H69" s="6">
        <f t="shared" si="4"/>
        <v>2319</v>
      </c>
      <c r="I69" s="6">
        <f t="shared" si="5"/>
        <v>1391.3999999999999</v>
      </c>
      <c r="J69" s="6">
        <f t="shared" si="6"/>
        <v>18783.900000000001</v>
      </c>
    </row>
    <row r="70" spans="2:10" x14ac:dyDescent="0.25">
      <c r="B70" s="1" t="s">
        <v>15</v>
      </c>
      <c r="C70" s="1" t="s">
        <v>23</v>
      </c>
      <c r="D70" s="5">
        <v>43559</v>
      </c>
      <c r="E70" s="5">
        <v>32587</v>
      </c>
      <c r="F70" s="1">
        <v>10411</v>
      </c>
      <c r="G70" s="6">
        <f t="shared" si="0"/>
        <v>3123.2999999999997</v>
      </c>
      <c r="H70" s="6">
        <f t="shared" si="4"/>
        <v>2082.2000000000003</v>
      </c>
      <c r="I70" s="6">
        <f t="shared" si="5"/>
        <v>1249.32</v>
      </c>
      <c r="J70" s="6">
        <f t="shared" si="6"/>
        <v>16865.82</v>
      </c>
    </row>
    <row r="71" spans="2:10" x14ac:dyDescent="0.25">
      <c r="B71" s="1" t="s">
        <v>15</v>
      </c>
      <c r="C71" s="1" t="s">
        <v>35</v>
      </c>
      <c r="D71" s="5">
        <v>43278</v>
      </c>
      <c r="E71" s="5">
        <v>32884</v>
      </c>
      <c r="F71" s="1">
        <v>10556</v>
      </c>
      <c r="G71" s="6">
        <f t="shared" ref="G71:G134" si="7">F71*0.3</f>
        <v>3166.7999999999997</v>
      </c>
      <c r="H71" s="6">
        <f t="shared" si="4"/>
        <v>2111.2000000000003</v>
      </c>
      <c r="I71" s="6">
        <f t="shared" si="5"/>
        <v>1266.72</v>
      </c>
      <c r="J71" s="6">
        <f t="shared" si="6"/>
        <v>17100.72</v>
      </c>
    </row>
    <row r="72" spans="2:10" x14ac:dyDescent="0.25">
      <c r="B72" s="1" t="s">
        <v>15</v>
      </c>
      <c r="C72" s="1" t="s">
        <v>35</v>
      </c>
      <c r="D72" s="5">
        <v>43598</v>
      </c>
      <c r="E72" s="5">
        <v>34719</v>
      </c>
      <c r="F72" s="1">
        <v>11382</v>
      </c>
      <c r="G72" s="6">
        <f t="shared" si="7"/>
        <v>3414.6</v>
      </c>
      <c r="H72" s="6">
        <f t="shared" si="4"/>
        <v>2276.4</v>
      </c>
      <c r="I72" s="6">
        <f t="shared" si="5"/>
        <v>1365.84</v>
      </c>
      <c r="J72" s="6">
        <f t="shared" si="6"/>
        <v>18438.84</v>
      </c>
    </row>
    <row r="73" spans="2:10" x14ac:dyDescent="0.25">
      <c r="B73" s="1" t="s">
        <v>15</v>
      </c>
      <c r="C73" s="1" t="s">
        <v>24</v>
      </c>
      <c r="D73" s="5">
        <v>43811</v>
      </c>
      <c r="E73" s="5">
        <v>33843</v>
      </c>
      <c r="F73" s="1">
        <v>10198</v>
      </c>
      <c r="G73" s="6">
        <f t="shared" si="7"/>
        <v>3059.4</v>
      </c>
      <c r="H73" s="6">
        <f t="shared" si="4"/>
        <v>2039.6000000000001</v>
      </c>
      <c r="I73" s="6">
        <f t="shared" si="5"/>
        <v>1223.76</v>
      </c>
      <c r="J73" s="6">
        <f t="shared" si="6"/>
        <v>16520.759999999998</v>
      </c>
    </row>
    <row r="74" spans="2:10" x14ac:dyDescent="0.25">
      <c r="B74" s="1" t="s">
        <v>15</v>
      </c>
      <c r="C74" s="1" t="s">
        <v>34</v>
      </c>
      <c r="D74" s="5">
        <v>44028</v>
      </c>
      <c r="E74" s="5">
        <v>34863</v>
      </c>
      <c r="F74" s="1">
        <v>10046</v>
      </c>
      <c r="G74" s="6">
        <f t="shared" si="7"/>
        <v>3013.7999999999997</v>
      </c>
      <c r="H74" s="6">
        <f t="shared" si="4"/>
        <v>2009.2</v>
      </c>
      <c r="I74" s="6">
        <f t="shared" si="5"/>
        <v>1205.52</v>
      </c>
      <c r="J74" s="6">
        <f t="shared" si="6"/>
        <v>16274.52</v>
      </c>
    </row>
    <row r="75" spans="2:10" x14ac:dyDescent="0.25">
      <c r="B75" s="1" t="s">
        <v>15</v>
      </c>
      <c r="C75" s="1" t="s">
        <v>27</v>
      </c>
      <c r="D75" s="5">
        <v>43697</v>
      </c>
      <c r="E75" s="5">
        <v>34649</v>
      </c>
      <c r="F75" s="1">
        <v>11113</v>
      </c>
      <c r="G75" s="6">
        <f t="shared" si="7"/>
        <v>3333.9</v>
      </c>
      <c r="H75" s="6">
        <f t="shared" si="4"/>
        <v>2222.6</v>
      </c>
      <c r="I75" s="6">
        <f t="shared" si="5"/>
        <v>1333.56</v>
      </c>
      <c r="J75" s="6">
        <f t="shared" si="6"/>
        <v>18003.060000000001</v>
      </c>
    </row>
    <row r="76" spans="2:10" x14ac:dyDescent="0.25">
      <c r="B76" s="1" t="s">
        <v>15</v>
      </c>
      <c r="C76" s="1" t="s">
        <v>36</v>
      </c>
      <c r="D76" s="5">
        <v>43443</v>
      </c>
      <c r="E76" s="5">
        <v>34757</v>
      </c>
      <c r="F76" s="1">
        <v>11415</v>
      </c>
      <c r="G76" s="6">
        <f t="shared" si="7"/>
        <v>3424.5</v>
      </c>
      <c r="H76" s="6">
        <f t="shared" si="4"/>
        <v>2283</v>
      </c>
      <c r="I76" s="6">
        <f t="shared" si="5"/>
        <v>1369.8</v>
      </c>
      <c r="J76" s="6">
        <f t="shared" si="6"/>
        <v>18492.3</v>
      </c>
    </row>
    <row r="77" spans="2:10" x14ac:dyDescent="0.25">
      <c r="B77" s="1" t="s">
        <v>15</v>
      </c>
      <c r="C77" s="1" t="s">
        <v>35</v>
      </c>
      <c r="D77" s="5">
        <v>43237</v>
      </c>
      <c r="E77" s="5">
        <v>33783</v>
      </c>
      <c r="F77" s="1">
        <v>10285</v>
      </c>
      <c r="G77" s="6">
        <f t="shared" si="7"/>
        <v>3085.5</v>
      </c>
      <c r="H77" s="6">
        <f t="shared" ref="H77:H140" si="8">F77*20%</f>
        <v>2057</v>
      </c>
      <c r="I77" s="6">
        <f t="shared" ref="I77:I140" si="9">F77*12%</f>
        <v>1234.2</v>
      </c>
      <c r="J77" s="6">
        <f t="shared" ref="J77:J140" si="10">SUM(F77:I77)</f>
        <v>16661.7</v>
      </c>
    </row>
    <row r="78" spans="2:10" x14ac:dyDescent="0.25">
      <c r="B78" s="1" t="s">
        <v>15</v>
      </c>
      <c r="C78" s="1" t="s">
        <v>34</v>
      </c>
      <c r="D78" s="5">
        <v>44723</v>
      </c>
      <c r="E78" s="5">
        <v>34093</v>
      </c>
      <c r="F78" s="1">
        <v>10511</v>
      </c>
      <c r="G78" s="6">
        <f t="shared" si="7"/>
        <v>3153.2999999999997</v>
      </c>
      <c r="H78" s="6">
        <f t="shared" si="8"/>
        <v>2102.2000000000003</v>
      </c>
      <c r="I78" s="6">
        <f t="shared" si="9"/>
        <v>1261.32</v>
      </c>
      <c r="J78" s="6">
        <f t="shared" si="10"/>
        <v>17027.82</v>
      </c>
    </row>
    <row r="79" spans="2:10" x14ac:dyDescent="0.25">
      <c r="B79" s="1" t="s">
        <v>15</v>
      </c>
      <c r="C79" s="1" t="s">
        <v>21</v>
      </c>
      <c r="D79" s="5">
        <v>43724</v>
      </c>
      <c r="E79" s="5">
        <v>34895</v>
      </c>
      <c r="F79" s="1">
        <v>10099</v>
      </c>
      <c r="G79" s="6">
        <f t="shared" si="7"/>
        <v>3029.7</v>
      </c>
      <c r="H79" s="6">
        <f t="shared" si="8"/>
        <v>2019.8000000000002</v>
      </c>
      <c r="I79" s="6">
        <f t="shared" si="9"/>
        <v>1211.8799999999999</v>
      </c>
      <c r="J79" s="6">
        <f t="shared" si="10"/>
        <v>16360.38</v>
      </c>
    </row>
    <row r="80" spans="2:10" x14ac:dyDescent="0.25">
      <c r="B80" s="1" t="s">
        <v>15</v>
      </c>
      <c r="C80" s="1" t="s">
        <v>32</v>
      </c>
      <c r="D80" s="5">
        <v>44187</v>
      </c>
      <c r="E80" s="5">
        <v>33383</v>
      </c>
      <c r="F80" s="1">
        <v>10269</v>
      </c>
      <c r="G80" s="6">
        <f t="shared" si="7"/>
        <v>3080.7</v>
      </c>
      <c r="H80" s="6">
        <f t="shared" si="8"/>
        <v>2053.8000000000002</v>
      </c>
      <c r="I80" s="6">
        <f t="shared" si="9"/>
        <v>1232.28</v>
      </c>
      <c r="J80" s="6">
        <f t="shared" si="10"/>
        <v>16635.78</v>
      </c>
    </row>
    <row r="81" spans="2:10" x14ac:dyDescent="0.25">
      <c r="B81" s="1" t="s">
        <v>15</v>
      </c>
      <c r="C81" s="1" t="s">
        <v>23</v>
      </c>
      <c r="D81" s="5">
        <v>43803</v>
      </c>
      <c r="E81" s="5">
        <v>33088</v>
      </c>
      <c r="F81" s="1">
        <v>10984</v>
      </c>
      <c r="G81" s="6">
        <f t="shared" si="7"/>
        <v>3295.2</v>
      </c>
      <c r="H81" s="6">
        <f t="shared" si="8"/>
        <v>2196.8000000000002</v>
      </c>
      <c r="I81" s="6">
        <f t="shared" si="9"/>
        <v>1318.08</v>
      </c>
      <c r="J81" s="6">
        <f t="shared" si="10"/>
        <v>17794.080000000002</v>
      </c>
    </row>
    <row r="82" spans="2:10" x14ac:dyDescent="0.25">
      <c r="B82" s="1" t="s">
        <v>15</v>
      </c>
      <c r="C82" s="1" t="s">
        <v>26</v>
      </c>
      <c r="D82" s="5">
        <v>43154</v>
      </c>
      <c r="E82" s="5">
        <v>32502</v>
      </c>
      <c r="F82" s="1">
        <v>11553</v>
      </c>
      <c r="G82" s="6">
        <f t="shared" si="7"/>
        <v>3465.9</v>
      </c>
      <c r="H82" s="6">
        <f t="shared" si="8"/>
        <v>2310.6</v>
      </c>
      <c r="I82" s="6">
        <f t="shared" si="9"/>
        <v>1386.36</v>
      </c>
      <c r="J82" s="6">
        <f t="shared" si="10"/>
        <v>18715.86</v>
      </c>
    </row>
    <row r="83" spans="2:10" x14ac:dyDescent="0.25">
      <c r="B83" s="1" t="s">
        <v>15</v>
      </c>
      <c r="C83" s="1" t="s">
        <v>29</v>
      </c>
      <c r="D83" s="5">
        <v>44899</v>
      </c>
      <c r="E83" s="5">
        <v>32922</v>
      </c>
      <c r="F83" s="1">
        <v>10992</v>
      </c>
      <c r="G83" s="6">
        <f t="shared" si="7"/>
        <v>3297.6</v>
      </c>
      <c r="H83" s="6">
        <f t="shared" si="8"/>
        <v>2198.4</v>
      </c>
      <c r="I83" s="6">
        <f t="shared" si="9"/>
        <v>1319.04</v>
      </c>
      <c r="J83" s="6">
        <f t="shared" si="10"/>
        <v>17807.04</v>
      </c>
    </row>
    <row r="84" spans="2:10" x14ac:dyDescent="0.25">
      <c r="B84" s="1" t="s">
        <v>15</v>
      </c>
      <c r="C84" s="1" t="s">
        <v>29</v>
      </c>
      <c r="D84" s="5">
        <v>43797</v>
      </c>
      <c r="E84" s="5">
        <v>35002</v>
      </c>
      <c r="F84" s="1">
        <v>10597</v>
      </c>
      <c r="G84" s="6">
        <f t="shared" si="7"/>
        <v>3179.1</v>
      </c>
      <c r="H84" s="6">
        <f t="shared" si="8"/>
        <v>2119.4</v>
      </c>
      <c r="I84" s="6">
        <f t="shared" si="9"/>
        <v>1271.6399999999999</v>
      </c>
      <c r="J84" s="6">
        <f t="shared" si="10"/>
        <v>17167.14</v>
      </c>
    </row>
    <row r="85" spans="2:10" x14ac:dyDescent="0.25">
      <c r="B85" s="1" t="s">
        <v>15</v>
      </c>
      <c r="C85" s="1" t="s">
        <v>34</v>
      </c>
      <c r="D85" s="5">
        <v>43322</v>
      </c>
      <c r="E85" s="5">
        <v>32306</v>
      </c>
      <c r="F85" s="1">
        <v>10796</v>
      </c>
      <c r="G85" s="6">
        <f t="shared" si="7"/>
        <v>3238.7999999999997</v>
      </c>
      <c r="H85" s="6">
        <f t="shared" si="8"/>
        <v>2159.2000000000003</v>
      </c>
      <c r="I85" s="6">
        <f t="shared" si="9"/>
        <v>1295.52</v>
      </c>
      <c r="J85" s="6">
        <f t="shared" si="10"/>
        <v>17489.52</v>
      </c>
    </row>
    <row r="86" spans="2:10" x14ac:dyDescent="0.25">
      <c r="B86" s="1" t="s">
        <v>15</v>
      </c>
      <c r="C86" s="1" t="s">
        <v>31</v>
      </c>
      <c r="D86" s="5">
        <v>43741</v>
      </c>
      <c r="E86" s="5">
        <v>33830</v>
      </c>
      <c r="F86" s="1">
        <v>10975</v>
      </c>
      <c r="G86" s="6">
        <f t="shared" si="7"/>
        <v>3292.5</v>
      </c>
      <c r="H86" s="6">
        <f t="shared" si="8"/>
        <v>2195</v>
      </c>
      <c r="I86" s="6">
        <f t="shared" si="9"/>
        <v>1317</v>
      </c>
      <c r="J86" s="6">
        <f t="shared" si="10"/>
        <v>17779.5</v>
      </c>
    </row>
    <row r="87" spans="2:10" x14ac:dyDescent="0.25">
      <c r="B87" s="1" t="s">
        <v>15</v>
      </c>
      <c r="C87" s="1" t="s">
        <v>32</v>
      </c>
      <c r="D87" s="5">
        <v>44682</v>
      </c>
      <c r="E87" s="5">
        <v>34344</v>
      </c>
      <c r="F87" s="1">
        <v>11784</v>
      </c>
      <c r="G87" s="6">
        <f t="shared" si="7"/>
        <v>3535.2</v>
      </c>
      <c r="H87" s="6">
        <f t="shared" si="8"/>
        <v>2356.8000000000002</v>
      </c>
      <c r="I87" s="6">
        <f t="shared" si="9"/>
        <v>1414.08</v>
      </c>
      <c r="J87" s="6">
        <f t="shared" si="10"/>
        <v>19090.080000000002</v>
      </c>
    </row>
    <row r="88" spans="2:10" x14ac:dyDescent="0.25">
      <c r="B88" s="1" t="s">
        <v>15</v>
      </c>
      <c r="C88" s="1" t="s">
        <v>22</v>
      </c>
      <c r="D88" s="5">
        <v>43154</v>
      </c>
      <c r="E88" s="5">
        <v>32612</v>
      </c>
      <c r="F88" s="1">
        <v>10115</v>
      </c>
      <c r="G88" s="6">
        <f t="shared" si="7"/>
        <v>3034.5</v>
      </c>
      <c r="H88" s="6">
        <f t="shared" si="8"/>
        <v>2023</v>
      </c>
      <c r="I88" s="6">
        <f t="shared" si="9"/>
        <v>1213.8</v>
      </c>
      <c r="J88" s="6">
        <f t="shared" si="10"/>
        <v>16386.3</v>
      </c>
    </row>
    <row r="89" spans="2:10" x14ac:dyDescent="0.25">
      <c r="B89" s="1" t="s">
        <v>15</v>
      </c>
      <c r="C89" s="1" t="s">
        <v>33</v>
      </c>
      <c r="D89" s="5">
        <v>43819</v>
      </c>
      <c r="E89" s="5">
        <v>34931</v>
      </c>
      <c r="F89" s="1">
        <v>10777</v>
      </c>
      <c r="G89" s="6">
        <f t="shared" si="7"/>
        <v>3233.1</v>
      </c>
      <c r="H89" s="6">
        <f t="shared" si="8"/>
        <v>2155.4</v>
      </c>
      <c r="I89" s="6">
        <f t="shared" si="9"/>
        <v>1293.24</v>
      </c>
      <c r="J89" s="6">
        <f t="shared" si="10"/>
        <v>17458.740000000002</v>
      </c>
    </row>
    <row r="90" spans="2:10" x14ac:dyDescent="0.25">
      <c r="B90" s="1" t="s">
        <v>15</v>
      </c>
      <c r="C90" s="1" t="s">
        <v>28</v>
      </c>
      <c r="D90" s="5">
        <v>44828</v>
      </c>
      <c r="E90" s="5">
        <v>32452</v>
      </c>
      <c r="F90" s="1">
        <v>11319</v>
      </c>
      <c r="G90" s="6">
        <f t="shared" si="7"/>
        <v>3395.7</v>
      </c>
      <c r="H90" s="6">
        <f t="shared" si="8"/>
        <v>2263.8000000000002</v>
      </c>
      <c r="I90" s="6">
        <f t="shared" si="9"/>
        <v>1358.28</v>
      </c>
      <c r="J90" s="6">
        <f t="shared" si="10"/>
        <v>18336.78</v>
      </c>
    </row>
    <row r="91" spans="2:10" x14ac:dyDescent="0.25">
      <c r="B91" s="1" t="s">
        <v>15</v>
      </c>
      <c r="C91" s="1" t="s">
        <v>38</v>
      </c>
      <c r="D91" s="5">
        <v>43508</v>
      </c>
      <c r="E91" s="5">
        <v>34713</v>
      </c>
      <c r="F91" s="1">
        <v>10013</v>
      </c>
      <c r="G91" s="6">
        <f t="shared" si="7"/>
        <v>3003.9</v>
      </c>
      <c r="H91" s="6">
        <f t="shared" si="8"/>
        <v>2002.6000000000001</v>
      </c>
      <c r="I91" s="6">
        <f t="shared" si="9"/>
        <v>1201.56</v>
      </c>
      <c r="J91" s="6">
        <f t="shared" si="10"/>
        <v>16221.06</v>
      </c>
    </row>
    <row r="92" spans="2:10" x14ac:dyDescent="0.25">
      <c r="B92" s="1" t="s">
        <v>15</v>
      </c>
      <c r="C92" s="1" t="s">
        <v>28</v>
      </c>
      <c r="D92" s="5">
        <v>43629</v>
      </c>
      <c r="E92" s="5">
        <v>35013</v>
      </c>
      <c r="F92" s="1">
        <v>11254</v>
      </c>
      <c r="G92" s="6">
        <f t="shared" si="7"/>
        <v>3376.2</v>
      </c>
      <c r="H92" s="6">
        <f t="shared" si="8"/>
        <v>2250.8000000000002</v>
      </c>
      <c r="I92" s="6">
        <f t="shared" si="9"/>
        <v>1350.48</v>
      </c>
      <c r="J92" s="6">
        <f t="shared" si="10"/>
        <v>18231.48</v>
      </c>
    </row>
    <row r="93" spans="2:10" x14ac:dyDescent="0.25">
      <c r="B93" s="1" t="s">
        <v>15</v>
      </c>
      <c r="C93" s="1" t="s">
        <v>33</v>
      </c>
      <c r="D93" s="5">
        <v>43183</v>
      </c>
      <c r="E93" s="5">
        <v>33437</v>
      </c>
      <c r="F93" s="1">
        <v>11486</v>
      </c>
      <c r="G93" s="6">
        <f t="shared" si="7"/>
        <v>3445.7999999999997</v>
      </c>
      <c r="H93" s="6">
        <f t="shared" si="8"/>
        <v>2297.2000000000003</v>
      </c>
      <c r="I93" s="6">
        <f t="shared" si="9"/>
        <v>1378.32</v>
      </c>
      <c r="J93" s="6">
        <f t="shared" si="10"/>
        <v>18607.32</v>
      </c>
    </row>
    <row r="94" spans="2:10" x14ac:dyDescent="0.25">
      <c r="B94" s="1" t="s">
        <v>15</v>
      </c>
      <c r="C94" s="1" t="s">
        <v>36</v>
      </c>
      <c r="D94" s="5">
        <v>43360</v>
      </c>
      <c r="E94" s="5">
        <v>32326</v>
      </c>
      <c r="F94" s="1">
        <v>11404</v>
      </c>
      <c r="G94" s="6">
        <f t="shared" si="7"/>
        <v>3421.2</v>
      </c>
      <c r="H94" s="6">
        <f t="shared" si="8"/>
        <v>2280.8000000000002</v>
      </c>
      <c r="I94" s="6">
        <f t="shared" si="9"/>
        <v>1368.48</v>
      </c>
      <c r="J94" s="6">
        <f t="shared" si="10"/>
        <v>18474.48</v>
      </c>
    </row>
    <row r="95" spans="2:10" x14ac:dyDescent="0.25">
      <c r="B95" s="1" t="s">
        <v>15</v>
      </c>
      <c r="C95" s="1" t="s">
        <v>24</v>
      </c>
      <c r="D95" s="5">
        <v>44194</v>
      </c>
      <c r="E95" s="5">
        <v>34276</v>
      </c>
      <c r="F95" s="1">
        <v>10591</v>
      </c>
      <c r="G95" s="6">
        <f t="shared" si="7"/>
        <v>3177.2999999999997</v>
      </c>
      <c r="H95" s="6">
        <f t="shared" si="8"/>
        <v>2118.2000000000003</v>
      </c>
      <c r="I95" s="6">
        <f t="shared" si="9"/>
        <v>1270.9199999999998</v>
      </c>
      <c r="J95" s="6">
        <f t="shared" si="10"/>
        <v>17157.419999999998</v>
      </c>
    </row>
    <row r="96" spans="2:10" x14ac:dyDescent="0.25">
      <c r="B96" s="1" t="s">
        <v>15</v>
      </c>
      <c r="C96" s="1" t="s">
        <v>27</v>
      </c>
      <c r="D96" s="5">
        <v>43948</v>
      </c>
      <c r="E96" s="5">
        <v>33035</v>
      </c>
      <c r="F96" s="1">
        <v>11232</v>
      </c>
      <c r="G96" s="6">
        <f t="shared" si="7"/>
        <v>3369.6</v>
      </c>
      <c r="H96" s="6">
        <f t="shared" si="8"/>
        <v>2246.4</v>
      </c>
      <c r="I96" s="6">
        <f t="shared" si="9"/>
        <v>1347.84</v>
      </c>
      <c r="J96" s="6">
        <f t="shared" si="10"/>
        <v>18195.84</v>
      </c>
    </row>
    <row r="97" spans="2:10" x14ac:dyDescent="0.25">
      <c r="B97" s="1" t="s">
        <v>15</v>
      </c>
      <c r="C97" s="1" t="s">
        <v>28</v>
      </c>
      <c r="D97" s="5">
        <v>43741</v>
      </c>
      <c r="E97" s="5">
        <v>32172</v>
      </c>
      <c r="F97" s="1">
        <v>10984</v>
      </c>
      <c r="G97" s="6">
        <f t="shared" si="7"/>
        <v>3295.2</v>
      </c>
      <c r="H97" s="6">
        <f t="shared" si="8"/>
        <v>2196.8000000000002</v>
      </c>
      <c r="I97" s="6">
        <f t="shared" si="9"/>
        <v>1318.08</v>
      </c>
      <c r="J97" s="6">
        <f t="shared" si="10"/>
        <v>17794.080000000002</v>
      </c>
    </row>
    <row r="98" spans="2:10" x14ac:dyDescent="0.25">
      <c r="B98" s="1" t="s">
        <v>16</v>
      </c>
      <c r="C98" s="1" t="s">
        <v>22</v>
      </c>
      <c r="D98" s="5">
        <v>44294</v>
      </c>
      <c r="E98" s="5">
        <v>32939</v>
      </c>
      <c r="F98" s="1">
        <v>16763</v>
      </c>
      <c r="G98" s="6">
        <f t="shared" si="7"/>
        <v>5028.8999999999996</v>
      </c>
      <c r="H98" s="6">
        <f t="shared" si="8"/>
        <v>3352.6000000000004</v>
      </c>
      <c r="I98" s="6">
        <f t="shared" si="9"/>
        <v>2011.56</v>
      </c>
      <c r="J98" s="6">
        <f t="shared" si="10"/>
        <v>27156.06</v>
      </c>
    </row>
    <row r="99" spans="2:10" x14ac:dyDescent="0.25">
      <c r="B99" s="1" t="s">
        <v>16</v>
      </c>
      <c r="C99" s="1" t="s">
        <v>30</v>
      </c>
      <c r="D99" s="5">
        <v>43896</v>
      </c>
      <c r="E99" s="5">
        <v>33617</v>
      </c>
      <c r="F99" s="1">
        <v>17087</v>
      </c>
      <c r="G99" s="6">
        <f t="shared" si="7"/>
        <v>5126.0999999999995</v>
      </c>
      <c r="H99" s="6">
        <f t="shared" si="8"/>
        <v>3417.4</v>
      </c>
      <c r="I99" s="6">
        <f t="shared" si="9"/>
        <v>2050.44</v>
      </c>
      <c r="J99" s="6">
        <f t="shared" si="10"/>
        <v>27680.94</v>
      </c>
    </row>
    <row r="100" spans="2:10" x14ac:dyDescent="0.25">
      <c r="B100" s="1" t="s">
        <v>16</v>
      </c>
      <c r="C100" s="1" t="s">
        <v>35</v>
      </c>
      <c r="D100" s="5">
        <v>43918</v>
      </c>
      <c r="E100" s="5">
        <v>34271</v>
      </c>
      <c r="F100" s="1">
        <v>17873</v>
      </c>
      <c r="G100" s="6">
        <f t="shared" si="7"/>
        <v>5361.9</v>
      </c>
      <c r="H100" s="6">
        <f t="shared" si="8"/>
        <v>3574.6000000000004</v>
      </c>
      <c r="I100" s="6">
        <f t="shared" si="9"/>
        <v>2144.7599999999998</v>
      </c>
      <c r="J100" s="6">
        <f t="shared" si="10"/>
        <v>28954.26</v>
      </c>
    </row>
    <row r="101" spans="2:10" x14ac:dyDescent="0.25">
      <c r="B101" s="1" t="s">
        <v>16</v>
      </c>
      <c r="C101" s="1" t="s">
        <v>33</v>
      </c>
      <c r="D101" s="5">
        <v>43552</v>
      </c>
      <c r="E101" s="5">
        <v>34089</v>
      </c>
      <c r="F101" s="1">
        <v>16205</v>
      </c>
      <c r="G101" s="6">
        <f t="shared" si="7"/>
        <v>4861.5</v>
      </c>
      <c r="H101" s="6">
        <f t="shared" si="8"/>
        <v>3241</v>
      </c>
      <c r="I101" s="6">
        <f t="shared" si="9"/>
        <v>1944.6</v>
      </c>
      <c r="J101" s="6">
        <f t="shared" si="10"/>
        <v>26252.1</v>
      </c>
    </row>
    <row r="102" spans="2:10" x14ac:dyDescent="0.25">
      <c r="B102" s="1" t="s">
        <v>16</v>
      </c>
      <c r="C102" s="1" t="s">
        <v>25</v>
      </c>
      <c r="D102" s="5">
        <v>43373</v>
      </c>
      <c r="E102" s="5">
        <v>33049</v>
      </c>
      <c r="F102" s="1">
        <v>16596</v>
      </c>
      <c r="G102" s="6">
        <f t="shared" si="7"/>
        <v>4978.8</v>
      </c>
      <c r="H102" s="6">
        <f t="shared" si="8"/>
        <v>3319.2000000000003</v>
      </c>
      <c r="I102" s="6">
        <f t="shared" si="9"/>
        <v>1991.52</v>
      </c>
      <c r="J102" s="6">
        <f t="shared" si="10"/>
        <v>26885.52</v>
      </c>
    </row>
    <row r="103" spans="2:10" x14ac:dyDescent="0.25">
      <c r="B103" s="1" t="s">
        <v>16</v>
      </c>
      <c r="C103" s="1" t="s">
        <v>0</v>
      </c>
      <c r="D103" s="5">
        <v>44713</v>
      </c>
      <c r="E103" s="5">
        <v>33397</v>
      </c>
      <c r="F103" s="1">
        <v>15827</v>
      </c>
      <c r="G103" s="6">
        <f t="shared" si="7"/>
        <v>4748.0999999999995</v>
      </c>
      <c r="H103" s="6">
        <f t="shared" si="8"/>
        <v>3165.4</v>
      </c>
      <c r="I103" s="6">
        <f t="shared" si="9"/>
        <v>1899.24</v>
      </c>
      <c r="J103" s="6">
        <f t="shared" si="10"/>
        <v>25639.74</v>
      </c>
    </row>
    <row r="104" spans="2:10" x14ac:dyDescent="0.25">
      <c r="B104" s="1" t="s">
        <v>16</v>
      </c>
      <c r="C104" s="1" t="s">
        <v>21</v>
      </c>
      <c r="D104" s="5">
        <v>44869</v>
      </c>
      <c r="E104" s="5">
        <v>33958</v>
      </c>
      <c r="F104" s="1">
        <v>16783</v>
      </c>
      <c r="G104" s="6">
        <f t="shared" si="7"/>
        <v>5034.8999999999996</v>
      </c>
      <c r="H104" s="6">
        <f t="shared" si="8"/>
        <v>3356.6000000000004</v>
      </c>
      <c r="I104" s="6">
        <f t="shared" si="9"/>
        <v>2013.96</v>
      </c>
      <c r="J104" s="6">
        <f t="shared" si="10"/>
        <v>27188.46</v>
      </c>
    </row>
    <row r="105" spans="2:10" x14ac:dyDescent="0.25">
      <c r="B105" s="1" t="s">
        <v>16</v>
      </c>
      <c r="C105" s="1" t="s">
        <v>23</v>
      </c>
      <c r="D105" s="5">
        <v>44700</v>
      </c>
      <c r="E105" s="5">
        <v>34475</v>
      </c>
      <c r="F105" s="1">
        <v>16588</v>
      </c>
      <c r="G105" s="6">
        <f t="shared" si="7"/>
        <v>4976.3999999999996</v>
      </c>
      <c r="H105" s="6">
        <f t="shared" si="8"/>
        <v>3317.6000000000004</v>
      </c>
      <c r="I105" s="6">
        <f t="shared" si="9"/>
        <v>1990.56</v>
      </c>
      <c r="J105" s="6">
        <f t="shared" si="10"/>
        <v>26872.560000000001</v>
      </c>
    </row>
    <row r="106" spans="2:10" x14ac:dyDescent="0.25">
      <c r="B106" s="1" t="s">
        <v>16</v>
      </c>
      <c r="C106" s="1" t="s">
        <v>0</v>
      </c>
      <c r="D106" s="5">
        <v>43750</v>
      </c>
      <c r="E106" s="5">
        <v>33154</v>
      </c>
      <c r="F106" s="1">
        <v>17363</v>
      </c>
      <c r="G106" s="6">
        <f t="shared" si="7"/>
        <v>5208.8999999999996</v>
      </c>
      <c r="H106" s="6">
        <f t="shared" si="8"/>
        <v>3472.6000000000004</v>
      </c>
      <c r="I106" s="6">
        <f t="shared" si="9"/>
        <v>2083.56</v>
      </c>
      <c r="J106" s="6">
        <f t="shared" si="10"/>
        <v>28128.06</v>
      </c>
    </row>
    <row r="107" spans="2:10" x14ac:dyDescent="0.25">
      <c r="B107" s="1" t="s">
        <v>16</v>
      </c>
      <c r="C107" s="1" t="s">
        <v>28</v>
      </c>
      <c r="D107" s="5">
        <v>43606</v>
      </c>
      <c r="E107" s="5">
        <v>34644</v>
      </c>
      <c r="F107" s="1">
        <v>16687</v>
      </c>
      <c r="G107" s="6">
        <f t="shared" si="7"/>
        <v>5006.0999999999995</v>
      </c>
      <c r="H107" s="6">
        <f t="shared" si="8"/>
        <v>3337.4</v>
      </c>
      <c r="I107" s="6">
        <f t="shared" si="9"/>
        <v>2002.4399999999998</v>
      </c>
      <c r="J107" s="6">
        <f t="shared" si="10"/>
        <v>27032.94</v>
      </c>
    </row>
    <row r="108" spans="2:10" x14ac:dyDescent="0.25">
      <c r="B108" s="1" t="s">
        <v>16</v>
      </c>
      <c r="C108" s="1" t="s">
        <v>35</v>
      </c>
      <c r="D108" s="5">
        <v>44859</v>
      </c>
      <c r="E108" s="5">
        <v>32539</v>
      </c>
      <c r="F108" s="1">
        <v>15699</v>
      </c>
      <c r="G108" s="6">
        <f t="shared" si="7"/>
        <v>4709.7</v>
      </c>
      <c r="H108" s="6">
        <f t="shared" si="8"/>
        <v>3139.8</v>
      </c>
      <c r="I108" s="6">
        <f t="shared" si="9"/>
        <v>1883.8799999999999</v>
      </c>
      <c r="J108" s="6">
        <f t="shared" si="10"/>
        <v>25432.38</v>
      </c>
    </row>
    <row r="109" spans="2:10" x14ac:dyDescent="0.25">
      <c r="B109" s="1" t="s">
        <v>16</v>
      </c>
      <c r="C109" s="1" t="s">
        <v>22</v>
      </c>
      <c r="D109" s="5">
        <v>43103</v>
      </c>
      <c r="E109" s="5">
        <v>33973</v>
      </c>
      <c r="F109" s="1">
        <v>16728</v>
      </c>
      <c r="G109" s="6">
        <f t="shared" si="7"/>
        <v>5018.3999999999996</v>
      </c>
      <c r="H109" s="6">
        <f t="shared" si="8"/>
        <v>3345.6000000000004</v>
      </c>
      <c r="I109" s="6">
        <f t="shared" si="9"/>
        <v>2007.36</v>
      </c>
      <c r="J109" s="6">
        <f t="shared" si="10"/>
        <v>27099.360000000001</v>
      </c>
    </row>
    <row r="110" spans="2:10" x14ac:dyDescent="0.25">
      <c r="B110" s="1" t="s">
        <v>16</v>
      </c>
      <c r="C110" s="1" t="s">
        <v>30</v>
      </c>
      <c r="D110" s="5">
        <v>43262</v>
      </c>
      <c r="E110" s="5">
        <v>32529</v>
      </c>
      <c r="F110" s="1">
        <v>17745</v>
      </c>
      <c r="G110" s="6">
        <f t="shared" si="7"/>
        <v>5323.5</v>
      </c>
      <c r="H110" s="6">
        <f t="shared" si="8"/>
        <v>3549</v>
      </c>
      <c r="I110" s="6">
        <f t="shared" si="9"/>
        <v>2129.4</v>
      </c>
      <c r="J110" s="6">
        <f t="shared" si="10"/>
        <v>28746.9</v>
      </c>
    </row>
    <row r="111" spans="2:10" x14ac:dyDescent="0.25">
      <c r="B111" s="1" t="s">
        <v>16</v>
      </c>
      <c r="C111" s="1" t="s">
        <v>21</v>
      </c>
      <c r="D111" s="5">
        <v>43847</v>
      </c>
      <c r="E111" s="5">
        <v>33712</v>
      </c>
      <c r="F111" s="1">
        <v>16106</v>
      </c>
      <c r="G111" s="6">
        <f t="shared" si="7"/>
        <v>4831.8</v>
      </c>
      <c r="H111" s="6">
        <f t="shared" si="8"/>
        <v>3221.2000000000003</v>
      </c>
      <c r="I111" s="6">
        <f t="shared" si="9"/>
        <v>1932.72</v>
      </c>
      <c r="J111" s="6">
        <f t="shared" si="10"/>
        <v>26091.72</v>
      </c>
    </row>
    <row r="112" spans="2:10" x14ac:dyDescent="0.25">
      <c r="B112" s="1" t="s">
        <v>16</v>
      </c>
      <c r="C112" s="1" t="s">
        <v>22</v>
      </c>
      <c r="D112" s="5">
        <v>44704</v>
      </c>
      <c r="E112" s="5">
        <v>34724</v>
      </c>
      <c r="F112" s="1">
        <v>15824</v>
      </c>
      <c r="G112" s="6">
        <f t="shared" si="7"/>
        <v>4747.2</v>
      </c>
      <c r="H112" s="6">
        <f t="shared" si="8"/>
        <v>3164.8</v>
      </c>
      <c r="I112" s="6">
        <f t="shared" si="9"/>
        <v>1898.8799999999999</v>
      </c>
      <c r="J112" s="6">
        <f t="shared" si="10"/>
        <v>25634.880000000001</v>
      </c>
    </row>
    <row r="113" spans="2:10" x14ac:dyDescent="0.25">
      <c r="B113" s="1" t="s">
        <v>16</v>
      </c>
      <c r="C113" s="1" t="s">
        <v>34</v>
      </c>
      <c r="D113" s="5">
        <v>43590</v>
      </c>
      <c r="E113" s="5">
        <v>33226</v>
      </c>
      <c r="F113" s="1">
        <v>17528</v>
      </c>
      <c r="G113" s="6">
        <f t="shared" si="7"/>
        <v>5258.4</v>
      </c>
      <c r="H113" s="6">
        <f t="shared" si="8"/>
        <v>3505.6000000000004</v>
      </c>
      <c r="I113" s="6">
        <f t="shared" si="9"/>
        <v>2103.36</v>
      </c>
      <c r="J113" s="6">
        <f t="shared" si="10"/>
        <v>28395.360000000001</v>
      </c>
    </row>
    <row r="114" spans="2:10" x14ac:dyDescent="0.25">
      <c r="B114" s="1" t="s">
        <v>16</v>
      </c>
      <c r="C114" s="1" t="s">
        <v>24</v>
      </c>
      <c r="D114" s="5">
        <v>43224</v>
      </c>
      <c r="E114" s="5">
        <v>32505</v>
      </c>
      <c r="F114" s="1">
        <v>16920</v>
      </c>
      <c r="G114" s="6">
        <f t="shared" si="7"/>
        <v>5076</v>
      </c>
      <c r="H114" s="6">
        <f t="shared" si="8"/>
        <v>3384</v>
      </c>
      <c r="I114" s="6">
        <f t="shared" si="9"/>
        <v>2030.3999999999999</v>
      </c>
      <c r="J114" s="6">
        <f t="shared" si="10"/>
        <v>27410.400000000001</v>
      </c>
    </row>
    <row r="115" spans="2:10" x14ac:dyDescent="0.25">
      <c r="B115" s="1" t="s">
        <v>16</v>
      </c>
      <c r="C115" s="1" t="s">
        <v>37</v>
      </c>
      <c r="D115" s="5">
        <v>44163</v>
      </c>
      <c r="E115" s="5">
        <v>34994</v>
      </c>
      <c r="F115" s="1">
        <v>15528</v>
      </c>
      <c r="G115" s="6">
        <f t="shared" si="7"/>
        <v>4658.3999999999996</v>
      </c>
      <c r="H115" s="6">
        <f t="shared" si="8"/>
        <v>3105.6000000000004</v>
      </c>
      <c r="I115" s="6">
        <f t="shared" si="9"/>
        <v>1863.36</v>
      </c>
      <c r="J115" s="6">
        <f t="shared" si="10"/>
        <v>25155.360000000001</v>
      </c>
    </row>
    <row r="116" spans="2:10" x14ac:dyDescent="0.25">
      <c r="B116" s="1" t="s">
        <v>16</v>
      </c>
      <c r="C116" s="1" t="s">
        <v>31</v>
      </c>
      <c r="D116" s="5">
        <v>44129</v>
      </c>
      <c r="E116" s="5">
        <v>33732</v>
      </c>
      <c r="F116" s="1">
        <v>15067</v>
      </c>
      <c r="G116" s="6">
        <f t="shared" si="7"/>
        <v>4520.0999999999995</v>
      </c>
      <c r="H116" s="6">
        <f t="shared" si="8"/>
        <v>3013.4</v>
      </c>
      <c r="I116" s="6">
        <f t="shared" si="9"/>
        <v>1808.04</v>
      </c>
      <c r="J116" s="6">
        <f t="shared" si="10"/>
        <v>24408.54</v>
      </c>
    </row>
    <row r="117" spans="2:10" x14ac:dyDescent="0.25">
      <c r="B117" s="1" t="s">
        <v>16</v>
      </c>
      <c r="C117" s="1" t="s">
        <v>38</v>
      </c>
      <c r="D117" s="5">
        <v>44663</v>
      </c>
      <c r="E117" s="5">
        <v>34645</v>
      </c>
      <c r="F117" s="1">
        <v>16902</v>
      </c>
      <c r="G117" s="6">
        <f t="shared" si="7"/>
        <v>5070.5999999999995</v>
      </c>
      <c r="H117" s="6">
        <f t="shared" si="8"/>
        <v>3380.4</v>
      </c>
      <c r="I117" s="6">
        <f t="shared" si="9"/>
        <v>2028.24</v>
      </c>
      <c r="J117" s="6">
        <f t="shared" si="10"/>
        <v>27381.24</v>
      </c>
    </row>
    <row r="118" spans="2:10" x14ac:dyDescent="0.25">
      <c r="B118" s="1" t="s">
        <v>16</v>
      </c>
      <c r="C118" s="1" t="s">
        <v>24</v>
      </c>
      <c r="D118" s="5">
        <v>44773</v>
      </c>
      <c r="E118" s="5">
        <v>32821</v>
      </c>
      <c r="F118" s="1">
        <v>16948</v>
      </c>
      <c r="G118" s="6">
        <f t="shared" si="7"/>
        <v>5084.3999999999996</v>
      </c>
      <c r="H118" s="6">
        <f t="shared" si="8"/>
        <v>3389.6000000000004</v>
      </c>
      <c r="I118" s="6">
        <f t="shared" si="9"/>
        <v>2033.76</v>
      </c>
      <c r="J118" s="6">
        <f t="shared" si="10"/>
        <v>27455.759999999998</v>
      </c>
    </row>
    <row r="119" spans="2:10" x14ac:dyDescent="0.25">
      <c r="B119" s="1" t="s">
        <v>16</v>
      </c>
      <c r="C119" s="1" t="s">
        <v>26</v>
      </c>
      <c r="D119" s="5">
        <v>43249</v>
      </c>
      <c r="E119" s="5">
        <v>33177</v>
      </c>
      <c r="F119" s="1">
        <v>16736</v>
      </c>
      <c r="G119" s="6">
        <f t="shared" si="7"/>
        <v>5020.8</v>
      </c>
      <c r="H119" s="6">
        <f t="shared" si="8"/>
        <v>3347.2000000000003</v>
      </c>
      <c r="I119" s="6">
        <f t="shared" si="9"/>
        <v>2008.32</v>
      </c>
      <c r="J119" s="6">
        <f t="shared" si="10"/>
        <v>27112.32</v>
      </c>
    </row>
    <row r="120" spans="2:10" x14ac:dyDescent="0.25">
      <c r="B120" s="1" t="s">
        <v>16</v>
      </c>
      <c r="C120" s="1" t="s">
        <v>38</v>
      </c>
      <c r="D120" s="5">
        <v>44139</v>
      </c>
      <c r="E120" s="5">
        <v>35018</v>
      </c>
      <c r="F120" s="1">
        <v>16353</v>
      </c>
      <c r="G120" s="6">
        <f t="shared" si="7"/>
        <v>4905.8999999999996</v>
      </c>
      <c r="H120" s="6">
        <f t="shared" si="8"/>
        <v>3270.6000000000004</v>
      </c>
      <c r="I120" s="6">
        <f t="shared" si="9"/>
        <v>1962.36</v>
      </c>
      <c r="J120" s="6">
        <f t="shared" si="10"/>
        <v>26491.86</v>
      </c>
    </row>
    <row r="121" spans="2:10" x14ac:dyDescent="0.25">
      <c r="B121" s="1" t="s">
        <v>16</v>
      </c>
      <c r="C121" s="1" t="s">
        <v>37</v>
      </c>
      <c r="D121" s="5">
        <v>43860</v>
      </c>
      <c r="E121" s="5">
        <v>34160</v>
      </c>
      <c r="F121" s="1">
        <v>17617</v>
      </c>
      <c r="G121" s="6">
        <f t="shared" si="7"/>
        <v>5285.0999999999995</v>
      </c>
      <c r="H121" s="6">
        <f t="shared" si="8"/>
        <v>3523.4</v>
      </c>
      <c r="I121" s="6">
        <f t="shared" si="9"/>
        <v>2114.04</v>
      </c>
      <c r="J121" s="6">
        <f t="shared" si="10"/>
        <v>28539.54</v>
      </c>
    </row>
    <row r="122" spans="2:10" x14ac:dyDescent="0.25">
      <c r="B122" s="1" t="s">
        <v>16</v>
      </c>
      <c r="C122" s="1" t="s">
        <v>0</v>
      </c>
      <c r="D122" s="5">
        <v>43944</v>
      </c>
      <c r="E122" s="5">
        <v>33607</v>
      </c>
      <c r="F122" s="1">
        <v>17741</v>
      </c>
      <c r="G122" s="6">
        <f t="shared" si="7"/>
        <v>5322.3</v>
      </c>
      <c r="H122" s="6">
        <f t="shared" si="8"/>
        <v>3548.2000000000003</v>
      </c>
      <c r="I122" s="6">
        <f t="shared" si="9"/>
        <v>2128.92</v>
      </c>
      <c r="J122" s="6">
        <f t="shared" si="10"/>
        <v>28740.42</v>
      </c>
    </row>
    <row r="123" spans="2:10" x14ac:dyDescent="0.25">
      <c r="B123" s="1" t="s">
        <v>16</v>
      </c>
      <c r="C123" s="1" t="s">
        <v>29</v>
      </c>
      <c r="D123" s="5">
        <v>44058</v>
      </c>
      <c r="E123" s="5">
        <v>33950</v>
      </c>
      <c r="F123" s="1">
        <v>16128</v>
      </c>
      <c r="G123" s="6">
        <f t="shared" si="7"/>
        <v>4838.3999999999996</v>
      </c>
      <c r="H123" s="6">
        <f t="shared" si="8"/>
        <v>3225.6000000000004</v>
      </c>
      <c r="I123" s="6">
        <f t="shared" si="9"/>
        <v>1935.36</v>
      </c>
      <c r="J123" s="6">
        <f t="shared" si="10"/>
        <v>26127.360000000001</v>
      </c>
    </row>
    <row r="124" spans="2:10" x14ac:dyDescent="0.25">
      <c r="B124" s="1" t="s">
        <v>16</v>
      </c>
      <c r="C124" s="1" t="s">
        <v>26</v>
      </c>
      <c r="D124" s="5">
        <v>44060</v>
      </c>
      <c r="E124" s="5">
        <v>32744</v>
      </c>
      <c r="F124" s="1">
        <v>16719</v>
      </c>
      <c r="G124" s="6">
        <f t="shared" si="7"/>
        <v>5015.7</v>
      </c>
      <c r="H124" s="6">
        <f t="shared" si="8"/>
        <v>3343.8</v>
      </c>
      <c r="I124" s="6">
        <f t="shared" si="9"/>
        <v>2006.28</v>
      </c>
      <c r="J124" s="6">
        <f t="shared" si="10"/>
        <v>27084.78</v>
      </c>
    </row>
    <row r="125" spans="2:10" x14ac:dyDescent="0.25">
      <c r="B125" s="1" t="s">
        <v>16</v>
      </c>
      <c r="C125" s="1" t="s">
        <v>30</v>
      </c>
      <c r="D125" s="5">
        <v>44341</v>
      </c>
      <c r="E125" s="5">
        <v>32558</v>
      </c>
      <c r="F125" s="1">
        <v>17997</v>
      </c>
      <c r="G125" s="6">
        <f t="shared" si="7"/>
        <v>5399.0999999999995</v>
      </c>
      <c r="H125" s="6">
        <f t="shared" si="8"/>
        <v>3599.4</v>
      </c>
      <c r="I125" s="6">
        <f t="shared" si="9"/>
        <v>2159.64</v>
      </c>
      <c r="J125" s="6">
        <f t="shared" si="10"/>
        <v>29155.14</v>
      </c>
    </row>
    <row r="126" spans="2:10" x14ac:dyDescent="0.25">
      <c r="B126" s="1" t="s">
        <v>16</v>
      </c>
      <c r="C126" s="1" t="s">
        <v>25</v>
      </c>
      <c r="D126" s="5">
        <v>44129</v>
      </c>
      <c r="E126" s="5">
        <v>34741</v>
      </c>
      <c r="F126" s="1">
        <v>16842</v>
      </c>
      <c r="G126" s="6">
        <f t="shared" si="7"/>
        <v>5052.5999999999995</v>
      </c>
      <c r="H126" s="6">
        <f t="shared" si="8"/>
        <v>3368.4</v>
      </c>
      <c r="I126" s="6">
        <f t="shared" si="9"/>
        <v>2021.04</v>
      </c>
      <c r="J126" s="6">
        <f t="shared" si="10"/>
        <v>27284.04</v>
      </c>
    </row>
    <row r="127" spans="2:10" x14ac:dyDescent="0.25">
      <c r="B127" s="1" t="s">
        <v>16</v>
      </c>
      <c r="C127" s="1" t="s">
        <v>37</v>
      </c>
      <c r="D127" s="5">
        <v>44855</v>
      </c>
      <c r="E127" s="5">
        <v>33240</v>
      </c>
      <c r="F127" s="1">
        <v>15519</v>
      </c>
      <c r="G127" s="6">
        <f t="shared" si="7"/>
        <v>4655.7</v>
      </c>
      <c r="H127" s="6">
        <f t="shared" si="8"/>
        <v>3103.8</v>
      </c>
      <c r="I127" s="6">
        <f t="shared" si="9"/>
        <v>1862.28</v>
      </c>
      <c r="J127" s="6">
        <f t="shared" si="10"/>
        <v>25140.78</v>
      </c>
    </row>
    <row r="128" spans="2:10" x14ac:dyDescent="0.25">
      <c r="B128" s="1" t="s">
        <v>16</v>
      </c>
      <c r="C128" s="1" t="s">
        <v>28</v>
      </c>
      <c r="D128" s="5">
        <v>44756</v>
      </c>
      <c r="E128" s="5">
        <v>34386</v>
      </c>
      <c r="F128" s="1">
        <v>16006</v>
      </c>
      <c r="G128" s="6">
        <f t="shared" si="7"/>
        <v>4801.8</v>
      </c>
      <c r="H128" s="6">
        <f t="shared" si="8"/>
        <v>3201.2000000000003</v>
      </c>
      <c r="I128" s="6">
        <f t="shared" si="9"/>
        <v>1920.72</v>
      </c>
      <c r="J128" s="6">
        <f t="shared" si="10"/>
        <v>25929.72</v>
      </c>
    </row>
    <row r="129" spans="2:10" x14ac:dyDescent="0.25">
      <c r="B129" s="1" t="s">
        <v>16</v>
      </c>
      <c r="C129" s="1" t="s">
        <v>35</v>
      </c>
      <c r="D129" s="5">
        <v>44740</v>
      </c>
      <c r="E129" s="5">
        <v>34770</v>
      </c>
      <c r="F129" s="1">
        <v>17499</v>
      </c>
      <c r="G129" s="6">
        <f t="shared" si="7"/>
        <v>5249.7</v>
      </c>
      <c r="H129" s="6">
        <f t="shared" si="8"/>
        <v>3499.8</v>
      </c>
      <c r="I129" s="6">
        <f t="shared" si="9"/>
        <v>2099.88</v>
      </c>
      <c r="J129" s="6">
        <f t="shared" si="10"/>
        <v>28348.38</v>
      </c>
    </row>
    <row r="130" spans="2:10" x14ac:dyDescent="0.25">
      <c r="B130" s="1" t="s">
        <v>16</v>
      </c>
      <c r="C130" s="1" t="s">
        <v>21</v>
      </c>
      <c r="D130" s="5">
        <v>43945</v>
      </c>
      <c r="E130" s="5">
        <v>34222</v>
      </c>
      <c r="F130" s="1">
        <v>15868</v>
      </c>
      <c r="G130" s="6">
        <f t="shared" si="7"/>
        <v>4760.3999999999996</v>
      </c>
      <c r="H130" s="6">
        <f t="shared" si="8"/>
        <v>3173.6000000000004</v>
      </c>
      <c r="I130" s="6">
        <f t="shared" si="9"/>
        <v>1904.1599999999999</v>
      </c>
      <c r="J130" s="6">
        <f t="shared" si="10"/>
        <v>25706.16</v>
      </c>
    </row>
    <row r="131" spans="2:10" x14ac:dyDescent="0.25">
      <c r="B131" s="1" t="s">
        <v>16</v>
      </c>
      <c r="C131" s="1" t="s">
        <v>22</v>
      </c>
      <c r="D131" s="5">
        <v>43165</v>
      </c>
      <c r="E131" s="5">
        <v>33459</v>
      </c>
      <c r="F131" s="1">
        <v>16650</v>
      </c>
      <c r="G131" s="6">
        <f t="shared" si="7"/>
        <v>4995</v>
      </c>
      <c r="H131" s="6">
        <f t="shared" si="8"/>
        <v>3330</v>
      </c>
      <c r="I131" s="6">
        <f t="shared" si="9"/>
        <v>1998</v>
      </c>
      <c r="J131" s="6">
        <f t="shared" si="10"/>
        <v>26973</v>
      </c>
    </row>
    <row r="132" spans="2:10" x14ac:dyDescent="0.25">
      <c r="B132" s="1" t="s">
        <v>16</v>
      </c>
      <c r="C132" s="1" t="s">
        <v>22</v>
      </c>
      <c r="D132" s="5">
        <v>43692</v>
      </c>
      <c r="E132" s="5">
        <v>34525</v>
      </c>
      <c r="F132" s="1">
        <v>17293</v>
      </c>
      <c r="G132" s="6">
        <f t="shared" si="7"/>
        <v>5187.8999999999996</v>
      </c>
      <c r="H132" s="6">
        <f t="shared" si="8"/>
        <v>3458.6000000000004</v>
      </c>
      <c r="I132" s="6">
        <f t="shared" si="9"/>
        <v>2075.16</v>
      </c>
      <c r="J132" s="6">
        <f t="shared" si="10"/>
        <v>28014.66</v>
      </c>
    </row>
    <row r="133" spans="2:10" x14ac:dyDescent="0.25">
      <c r="B133" s="1" t="s">
        <v>16</v>
      </c>
      <c r="C133" s="1" t="s">
        <v>23</v>
      </c>
      <c r="D133" s="5">
        <v>44170</v>
      </c>
      <c r="E133" s="5">
        <v>32443</v>
      </c>
      <c r="F133" s="1">
        <v>16428</v>
      </c>
      <c r="G133" s="6">
        <f t="shared" si="7"/>
        <v>4928.3999999999996</v>
      </c>
      <c r="H133" s="6">
        <f t="shared" si="8"/>
        <v>3285.6000000000004</v>
      </c>
      <c r="I133" s="6">
        <f t="shared" si="9"/>
        <v>1971.36</v>
      </c>
      <c r="J133" s="6">
        <f t="shared" si="10"/>
        <v>26613.360000000001</v>
      </c>
    </row>
    <row r="134" spans="2:10" x14ac:dyDescent="0.25">
      <c r="B134" s="1" t="s">
        <v>16</v>
      </c>
      <c r="C134" s="1" t="s">
        <v>26</v>
      </c>
      <c r="D134" s="5">
        <v>44863</v>
      </c>
      <c r="E134" s="5">
        <v>33130</v>
      </c>
      <c r="F134" s="1">
        <v>15376</v>
      </c>
      <c r="G134" s="6">
        <f t="shared" si="7"/>
        <v>4612.8</v>
      </c>
      <c r="H134" s="6">
        <f t="shared" si="8"/>
        <v>3075.2000000000003</v>
      </c>
      <c r="I134" s="6">
        <f t="shared" si="9"/>
        <v>1845.12</v>
      </c>
      <c r="J134" s="6">
        <f t="shared" si="10"/>
        <v>24909.119999999999</v>
      </c>
    </row>
    <row r="135" spans="2:10" x14ac:dyDescent="0.25">
      <c r="B135" s="1" t="s">
        <v>16</v>
      </c>
      <c r="C135" s="1" t="s">
        <v>37</v>
      </c>
      <c r="D135" s="5">
        <v>43786</v>
      </c>
      <c r="E135" s="5">
        <v>34003</v>
      </c>
      <c r="F135" s="1">
        <v>16830</v>
      </c>
      <c r="G135" s="6">
        <f t="shared" ref="G135:G198" si="11">F135*0.3</f>
        <v>5049</v>
      </c>
      <c r="H135" s="6">
        <f t="shared" si="8"/>
        <v>3366</v>
      </c>
      <c r="I135" s="6">
        <f t="shared" si="9"/>
        <v>2019.6</v>
      </c>
      <c r="J135" s="6">
        <f t="shared" si="10"/>
        <v>27264.6</v>
      </c>
    </row>
    <row r="136" spans="2:10" x14ac:dyDescent="0.25">
      <c r="B136" s="1" t="s">
        <v>16</v>
      </c>
      <c r="C136" s="1" t="s">
        <v>0</v>
      </c>
      <c r="D136" s="5">
        <v>44422</v>
      </c>
      <c r="E136" s="5">
        <v>32479</v>
      </c>
      <c r="F136" s="1">
        <v>16944</v>
      </c>
      <c r="G136" s="6">
        <f t="shared" si="11"/>
        <v>5083.2</v>
      </c>
      <c r="H136" s="6">
        <f t="shared" si="8"/>
        <v>3388.8</v>
      </c>
      <c r="I136" s="6">
        <f t="shared" si="9"/>
        <v>2033.28</v>
      </c>
      <c r="J136" s="6">
        <f t="shared" si="10"/>
        <v>27449.279999999999</v>
      </c>
    </row>
    <row r="137" spans="2:10" x14ac:dyDescent="0.25">
      <c r="B137" s="1" t="s">
        <v>16</v>
      </c>
      <c r="C137" s="1" t="s">
        <v>31</v>
      </c>
      <c r="D137" s="5">
        <v>44464</v>
      </c>
      <c r="E137" s="5">
        <v>34723</v>
      </c>
      <c r="F137" s="1">
        <v>15662</v>
      </c>
      <c r="G137" s="6">
        <f t="shared" si="11"/>
        <v>4698.5999999999995</v>
      </c>
      <c r="H137" s="6">
        <f t="shared" si="8"/>
        <v>3132.4</v>
      </c>
      <c r="I137" s="6">
        <f t="shared" si="9"/>
        <v>1879.4399999999998</v>
      </c>
      <c r="J137" s="6">
        <f t="shared" si="10"/>
        <v>25372.44</v>
      </c>
    </row>
    <row r="138" spans="2:10" x14ac:dyDescent="0.25">
      <c r="B138" s="1" t="s">
        <v>16</v>
      </c>
      <c r="C138" s="1" t="s">
        <v>22</v>
      </c>
      <c r="D138" s="5">
        <v>44209</v>
      </c>
      <c r="E138" s="5">
        <v>33237</v>
      </c>
      <c r="F138" s="1">
        <v>15815</v>
      </c>
      <c r="G138" s="6">
        <f t="shared" si="11"/>
        <v>4744.5</v>
      </c>
      <c r="H138" s="6">
        <f t="shared" si="8"/>
        <v>3163</v>
      </c>
      <c r="I138" s="6">
        <f t="shared" si="9"/>
        <v>1897.8</v>
      </c>
      <c r="J138" s="6">
        <f t="shared" si="10"/>
        <v>25620.3</v>
      </c>
    </row>
    <row r="139" spans="2:10" x14ac:dyDescent="0.25">
      <c r="B139" s="1" t="s">
        <v>16</v>
      </c>
      <c r="C139" s="1" t="s">
        <v>20</v>
      </c>
      <c r="D139" s="5">
        <v>44246</v>
      </c>
      <c r="E139" s="5">
        <v>34503</v>
      </c>
      <c r="F139" s="1">
        <v>16043</v>
      </c>
      <c r="G139" s="6">
        <f t="shared" si="11"/>
        <v>4812.8999999999996</v>
      </c>
      <c r="H139" s="6">
        <f t="shared" si="8"/>
        <v>3208.6000000000004</v>
      </c>
      <c r="I139" s="6">
        <f t="shared" si="9"/>
        <v>1925.1599999999999</v>
      </c>
      <c r="J139" s="6">
        <f t="shared" si="10"/>
        <v>25989.66</v>
      </c>
    </row>
    <row r="140" spans="2:10" x14ac:dyDescent="0.25">
      <c r="B140" s="1" t="s">
        <v>16</v>
      </c>
      <c r="C140" s="1" t="s">
        <v>23</v>
      </c>
      <c r="D140" s="5">
        <v>44791</v>
      </c>
      <c r="E140" s="5">
        <v>32351</v>
      </c>
      <c r="F140" s="1">
        <v>15506</v>
      </c>
      <c r="G140" s="6">
        <f t="shared" si="11"/>
        <v>4651.8</v>
      </c>
      <c r="H140" s="6">
        <f t="shared" si="8"/>
        <v>3101.2000000000003</v>
      </c>
      <c r="I140" s="6">
        <f t="shared" si="9"/>
        <v>1860.72</v>
      </c>
      <c r="J140" s="6">
        <f t="shared" si="10"/>
        <v>25119.72</v>
      </c>
    </row>
    <row r="141" spans="2:10" x14ac:dyDescent="0.25">
      <c r="B141" s="1" t="s">
        <v>16</v>
      </c>
      <c r="C141" s="1" t="s">
        <v>35</v>
      </c>
      <c r="D141" s="5">
        <v>44310</v>
      </c>
      <c r="E141" s="5">
        <v>34850</v>
      </c>
      <c r="F141" s="1">
        <v>17315</v>
      </c>
      <c r="G141" s="6">
        <f t="shared" si="11"/>
        <v>5194.5</v>
      </c>
      <c r="H141" s="6">
        <f t="shared" ref="H141:H204" si="12">F141*20%</f>
        <v>3463</v>
      </c>
      <c r="I141" s="6">
        <f t="shared" ref="I141:I204" si="13">F141*12%</f>
        <v>2077.7999999999997</v>
      </c>
      <c r="J141" s="6">
        <f t="shared" ref="J141:J204" si="14">SUM(F141:I141)</f>
        <v>28050.3</v>
      </c>
    </row>
    <row r="142" spans="2:10" x14ac:dyDescent="0.25">
      <c r="B142" s="1" t="s">
        <v>16</v>
      </c>
      <c r="C142" s="1" t="s">
        <v>33</v>
      </c>
      <c r="D142" s="5">
        <v>44423</v>
      </c>
      <c r="E142" s="5">
        <v>32946</v>
      </c>
      <c r="F142" s="1">
        <v>16018</v>
      </c>
      <c r="G142" s="6">
        <f t="shared" si="11"/>
        <v>4805.3999999999996</v>
      </c>
      <c r="H142" s="6">
        <f t="shared" si="12"/>
        <v>3203.6000000000004</v>
      </c>
      <c r="I142" s="6">
        <f t="shared" si="13"/>
        <v>1922.1599999999999</v>
      </c>
      <c r="J142" s="6">
        <f t="shared" si="14"/>
        <v>25949.16</v>
      </c>
    </row>
    <row r="143" spans="2:10" x14ac:dyDescent="0.25">
      <c r="B143" s="1" t="s">
        <v>16</v>
      </c>
      <c r="C143" s="1" t="s">
        <v>30</v>
      </c>
      <c r="D143" s="5">
        <v>44896</v>
      </c>
      <c r="E143" s="5">
        <v>32505</v>
      </c>
      <c r="F143" s="1">
        <v>15720</v>
      </c>
      <c r="G143" s="6">
        <f t="shared" si="11"/>
        <v>4716</v>
      </c>
      <c r="H143" s="6">
        <f t="shared" si="12"/>
        <v>3144</v>
      </c>
      <c r="I143" s="6">
        <f t="shared" si="13"/>
        <v>1886.3999999999999</v>
      </c>
      <c r="J143" s="6">
        <f t="shared" si="14"/>
        <v>25466.400000000001</v>
      </c>
    </row>
    <row r="144" spans="2:10" x14ac:dyDescent="0.25">
      <c r="B144" s="1" t="s">
        <v>16</v>
      </c>
      <c r="C144" s="1" t="s">
        <v>29</v>
      </c>
      <c r="D144" s="5">
        <v>44181</v>
      </c>
      <c r="E144" s="5">
        <v>33943</v>
      </c>
      <c r="F144" s="1">
        <v>17394</v>
      </c>
      <c r="G144" s="6">
        <f t="shared" si="11"/>
        <v>5218.2</v>
      </c>
      <c r="H144" s="6">
        <f t="shared" si="12"/>
        <v>3478.8</v>
      </c>
      <c r="I144" s="6">
        <f t="shared" si="13"/>
        <v>2087.2799999999997</v>
      </c>
      <c r="J144" s="6">
        <f t="shared" si="14"/>
        <v>28178.28</v>
      </c>
    </row>
    <row r="145" spans="2:10" x14ac:dyDescent="0.25">
      <c r="B145" s="1" t="s">
        <v>16</v>
      </c>
      <c r="C145" s="1" t="s">
        <v>36</v>
      </c>
      <c r="D145" s="5">
        <v>44120</v>
      </c>
      <c r="E145" s="5">
        <v>32482</v>
      </c>
      <c r="F145" s="1">
        <v>15550</v>
      </c>
      <c r="G145" s="6">
        <f t="shared" si="11"/>
        <v>4665</v>
      </c>
      <c r="H145" s="6">
        <f t="shared" si="12"/>
        <v>3110</v>
      </c>
      <c r="I145" s="6">
        <f t="shared" si="13"/>
        <v>1866</v>
      </c>
      <c r="J145" s="6">
        <f t="shared" si="14"/>
        <v>25191</v>
      </c>
    </row>
    <row r="146" spans="2:10" x14ac:dyDescent="0.25">
      <c r="B146" s="1" t="s">
        <v>16</v>
      </c>
      <c r="C146" s="1" t="s">
        <v>30</v>
      </c>
      <c r="D146" s="5">
        <v>43990</v>
      </c>
      <c r="E146" s="5">
        <v>33670</v>
      </c>
      <c r="F146" s="1">
        <v>16991</v>
      </c>
      <c r="G146" s="6">
        <f t="shared" si="11"/>
        <v>5097.3</v>
      </c>
      <c r="H146" s="6">
        <f t="shared" si="12"/>
        <v>3398.2000000000003</v>
      </c>
      <c r="I146" s="6">
        <f t="shared" si="13"/>
        <v>2038.9199999999998</v>
      </c>
      <c r="J146" s="6">
        <f t="shared" si="14"/>
        <v>27525.42</v>
      </c>
    </row>
    <row r="147" spans="2:10" x14ac:dyDescent="0.25">
      <c r="B147" s="1" t="s">
        <v>16</v>
      </c>
      <c r="C147" s="1" t="s">
        <v>27</v>
      </c>
      <c r="D147" s="5">
        <v>43388</v>
      </c>
      <c r="E147" s="5">
        <v>34812</v>
      </c>
      <c r="F147" s="1">
        <v>17171</v>
      </c>
      <c r="G147" s="6">
        <f t="shared" si="11"/>
        <v>5151.3</v>
      </c>
      <c r="H147" s="6">
        <f t="shared" si="12"/>
        <v>3434.2000000000003</v>
      </c>
      <c r="I147" s="6">
        <f t="shared" si="13"/>
        <v>2060.52</v>
      </c>
      <c r="J147" s="6">
        <f t="shared" si="14"/>
        <v>27817.02</v>
      </c>
    </row>
    <row r="148" spans="2:10" x14ac:dyDescent="0.25">
      <c r="B148" s="1" t="s">
        <v>16</v>
      </c>
      <c r="C148" s="1" t="s">
        <v>25</v>
      </c>
      <c r="D148" s="5">
        <v>43782</v>
      </c>
      <c r="E148" s="5">
        <v>32275</v>
      </c>
      <c r="F148" s="1">
        <v>16756</v>
      </c>
      <c r="G148" s="6">
        <f t="shared" si="11"/>
        <v>5026.8</v>
      </c>
      <c r="H148" s="6">
        <f t="shared" si="12"/>
        <v>3351.2000000000003</v>
      </c>
      <c r="I148" s="6">
        <f t="shared" si="13"/>
        <v>2010.72</v>
      </c>
      <c r="J148" s="6">
        <f t="shared" si="14"/>
        <v>27144.720000000001</v>
      </c>
    </row>
    <row r="149" spans="2:10" x14ac:dyDescent="0.25">
      <c r="B149" s="1" t="s">
        <v>16</v>
      </c>
      <c r="C149" s="1" t="s">
        <v>31</v>
      </c>
      <c r="D149" s="5">
        <v>44724</v>
      </c>
      <c r="E149" s="5">
        <v>33210</v>
      </c>
      <c r="F149" s="1">
        <v>16079</v>
      </c>
      <c r="G149" s="6">
        <f t="shared" si="11"/>
        <v>4823.7</v>
      </c>
      <c r="H149" s="6">
        <f t="shared" si="12"/>
        <v>3215.8</v>
      </c>
      <c r="I149" s="6">
        <f t="shared" si="13"/>
        <v>1929.48</v>
      </c>
      <c r="J149" s="6">
        <f t="shared" si="14"/>
        <v>26047.98</v>
      </c>
    </row>
    <row r="150" spans="2:10" x14ac:dyDescent="0.25">
      <c r="B150" s="1" t="s">
        <v>16</v>
      </c>
      <c r="C150" s="1" t="s">
        <v>30</v>
      </c>
      <c r="D150" s="5">
        <v>43103</v>
      </c>
      <c r="E150" s="5">
        <v>34431</v>
      </c>
      <c r="F150" s="1">
        <v>16229</v>
      </c>
      <c r="G150" s="6">
        <f t="shared" si="11"/>
        <v>4868.7</v>
      </c>
      <c r="H150" s="6">
        <f t="shared" si="12"/>
        <v>3245.8</v>
      </c>
      <c r="I150" s="6">
        <f t="shared" si="13"/>
        <v>1947.48</v>
      </c>
      <c r="J150" s="6">
        <f t="shared" si="14"/>
        <v>26290.98</v>
      </c>
    </row>
    <row r="151" spans="2:10" x14ac:dyDescent="0.25">
      <c r="B151" s="1" t="s">
        <v>16</v>
      </c>
      <c r="C151" s="1" t="s">
        <v>24</v>
      </c>
      <c r="D151" s="5">
        <v>43999</v>
      </c>
      <c r="E151" s="5">
        <v>32391</v>
      </c>
      <c r="F151" s="1">
        <v>16948</v>
      </c>
      <c r="G151" s="6">
        <f t="shared" si="11"/>
        <v>5084.3999999999996</v>
      </c>
      <c r="H151" s="6">
        <f t="shared" si="12"/>
        <v>3389.6000000000004</v>
      </c>
      <c r="I151" s="6">
        <f t="shared" si="13"/>
        <v>2033.76</v>
      </c>
      <c r="J151" s="6">
        <f t="shared" si="14"/>
        <v>27455.759999999998</v>
      </c>
    </row>
    <row r="152" spans="2:10" x14ac:dyDescent="0.25">
      <c r="B152" s="1" t="s">
        <v>16</v>
      </c>
      <c r="C152" s="1" t="s">
        <v>0</v>
      </c>
      <c r="D152" s="5">
        <v>44375</v>
      </c>
      <c r="E152" s="5">
        <v>34532</v>
      </c>
      <c r="F152" s="1">
        <v>16888</v>
      </c>
      <c r="G152" s="6">
        <f t="shared" si="11"/>
        <v>5066.3999999999996</v>
      </c>
      <c r="H152" s="6">
        <f t="shared" si="12"/>
        <v>3377.6000000000004</v>
      </c>
      <c r="I152" s="6">
        <f t="shared" si="13"/>
        <v>2026.56</v>
      </c>
      <c r="J152" s="6">
        <f t="shared" si="14"/>
        <v>27358.560000000001</v>
      </c>
    </row>
    <row r="153" spans="2:10" x14ac:dyDescent="0.25">
      <c r="B153" s="1" t="s">
        <v>16</v>
      </c>
      <c r="C153" s="1" t="s">
        <v>32</v>
      </c>
      <c r="D153" s="5">
        <v>44463</v>
      </c>
      <c r="E153" s="5">
        <v>34393</v>
      </c>
      <c r="F153" s="1">
        <v>16843</v>
      </c>
      <c r="G153" s="6">
        <f t="shared" si="11"/>
        <v>5052.8999999999996</v>
      </c>
      <c r="H153" s="6">
        <f t="shared" si="12"/>
        <v>3368.6000000000004</v>
      </c>
      <c r="I153" s="6">
        <f t="shared" si="13"/>
        <v>2021.1599999999999</v>
      </c>
      <c r="J153" s="6">
        <f t="shared" si="14"/>
        <v>27285.66</v>
      </c>
    </row>
    <row r="154" spans="2:10" x14ac:dyDescent="0.25">
      <c r="B154" s="1" t="s">
        <v>16</v>
      </c>
      <c r="C154" s="1" t="s">
        <v>24</v>
      </c>
      <c r="D154" s="5">
        <v>44441</v>
      </c>
      <c r="E154" s="5">
        <v>33434</v>
      </c>
      <c r="F154" s="1">
        <v>17014</v>
      </c>
      <c r="G154" s="6">
        <f t="shared" si="11"/>
        <v>5104.2</v>
      </c>
      <c r="H154" s="6">
        <f t="shared" si="12"/>
        <v>3402.8</v>
      </c>
      <c r="I154" s="6">
        <f t="shared" si="13"/>
        <v>2041.6799999999998</v>
      </c>
      <c r="J154" s="6">
        <f t="shared" si="14"/>
        <v>27562.68</v>
      </c>
    </row>
    <row r="155" spans="2:10" x14ac:dyDescent="0.25">
      <c r="B155" s="1" t="s">
        <v>16</v>
      </c>
      <c r="C155" s="1" t="s">
        <v>34</v>
      </c>
      <c r="D155" s="5">
        <v>43953</v>
      </c>
      <c r="E155" s="5">
        <v>32146</v>
      </c>
      <c r="F155" s="1">
        <v>15026</v>
      </c>
      <c r="G155" s="6">
        <f t="shared" si="11"/>
        <v>4507.8</v>
      </c>
      <c r="H155" s="6">
        <f t="shared" si="12"/>
        <v>3005.2000000000003</v>
      </c>
      <c r="I155" s="6">
        <f t="shared" si="13"/>
        <v>1803.12</v>
      </c>
      <c r="J155" s="6">
        <f t="shared" si="14"/>
        <v>24342.12</v>
      </c>
    </row>
    <row r="156" spans="2:10" x14ac:dyDescent="0.25">
      <c r="B156" s="1" t="s">
        <v>16</v>
      </c>
      <c r="C156" s="1" t="s">
        <v>31</v>
      </c>
      <c r="D156" s="5">
        <v>44569</v>
      </c>
      <c r="E156" s="5">
        <v>34977</v>
      </c>
      <c r="F156" s="1">
        <v>15267</v>
      </c>
      <c r="G156" s="6">
        <f t="shared" si="11"/>
        <v>4580.0999999999995</v>
      </c>
      <c r="H156" s="6">
        <f t="shared" si="12"/>
        <v>3053.4</v>
      </c>
      <c r="I156" s="6">
        <f t="shared" si="13"/>
        <v>1832.04</v>
      </c>
      <c r="J156" s="6">
        <f t="shared" si="14"/>
        <v>24732.54</v>
      </c>
    </row>
    <row r="157" spans="2:10" x14ac:dyDescent="0.25">
      <c r="B157" s="1" t="s">
        <v>16</v>
      </c>
      <c r="C157" s="1" t="s">
        <v>32</v>
      </c>
      <c r="D157" s="5">
        <v>43858</v>
      </c>
      <c r="E157" s="5">
        <v>33418</v>
      </c>
      <c r="F157" s="1">
        <v>17124</v>
      </c>
      <c r="G157" s="6">
        <f t="shared" si="11"/>
        <v>5137.2</v>
      </c>
      <c r="H157" s="6">
        <f t="shared" si="12"/>
        <v>3424.8</v>
      </c>
      <c r="I157" s="6">
        <f t="shared" si="13"/>
        <v>2054.88</v>
      </c>
      <c r="J157" s="6">
        <f t="shared" si="14"/>
        <v>27740.880000000001</v>
      </c>
    </row>
    <row r="158" spans="2:10" x14ac:dyDescent="0.25">
      <c r="B158" s="1" t="s">
        <v>16</v>
      </c>
      <c r="C158" s="1" t="s">
        <v>34</v>
      </c>
      <c r="D158" s="5">
        <v>43781</v>
      </c>
      <c r="E158" s="5">
        <v>32160</v>
      </c>
      <c r="F158" s="1">
        <v>15093</v>
      </c>
      <c r="G158" s="6">
        <f t="shared" si="11"/>
        <v>4527.8999999999996</v>
      </c>
      <c r="H158" s="6">
        <f t="shared" si="12"/>
        <v>3018.6000000000004</v>
      </c>
      <c r="I158" s="6">
        <f t="shared" si="13"/>
        <v>1811.1599999999999</v>
      </c>
      <c r="J158" s="6">
        <f t="shared" si="14"/>
        <v>24450.66</v>
      </c>
    </row>
    <row r="159" spans="2:10" x14ac:dyDescent="0.25">
      <c r="B159" s="1" t="s">
        <v>16</v>
      </c>
      <c r="C159" s="1" t="s">
        <v>29</v>
      </c>
      <c r="D159" s="5">
        <v>44506</v>
      </c>
      <c r="E159" s="5">
        <v>33687</v>
      </c>
      <c r="F159" s="1">
        <v>16759</v>
      </c>
      <c r="G159" s="6">
        <f t="shared" si="11"/>
        <v>5027.7</v>
      </c>
      <c r="H159" s="6">
        <f t="shared" si="12"/>
        <v>3351.8</v>
      </c>
      <c r="I159" s="6">
        <f t="shared" si="13"/>
        <v>2011.08</v>
      </c>
      <c r="J159" s="6">
        <f t="shared" si="14"/>
        <v>27149.58</v>
      </c>
    </row>
    <row r="160" spans="2:10" x14ac:dyDescent="0.25">
      <c r="B160" s="1" t="s">
        <v>16</v>
      </c>
      <c r="C160" s="1" t="s">
        <v>32</v>
      </c>
      <c r="D160" s="5">
        <v>44290</v>
      </c>
      <c r="E160" s="5">
        <v>33687</v>
      </c>
      <c r="F160" s="1">
        <v>16731</v>
      </c>
      <c r="G160" s="6">
        <f t="shared" si="11"/>
        <v>5019.3</v>
      </c>
      <c r="H160" s="6">
        <f t="shared" si="12"/>
        <v>3346.2000000000003</v>
      </c>
      <c r="I160" s="6">
        <f t="shared" si="13"/>
        <v>2007.72</v>
      </c>
      <c r="J160" s="6">
        <f t="shared" si="14"/>
        <v>27104.22</v>
      </c>
    </row>
    <row r="161" spans="2:10" x14ac:dyDescent="0.25">
      <c r="B161" s="1" t="s">
        <v>16</v>
      </c>
      <c r="C161" s="1" t="s">
        <v>32</v>
      </c>
      <c r="D161" s="5">
        <v>44368</v>
      </c>
      <c r="E161" s="5">
        <v>34383</v>
      </c>
      <c r="F161" s="1">
        <v>16177</v>
      </c>
      <c r="G161" s="6">
        <f t="shared" si="11"/>
        <v>4853.0999999999995</v>
      </c>
      <c r="H161" s="6">
        <f t="shared" si="12"/>
        <v>3235.4</v>
      </c>
      <c r="I161" s="6">
        <f t="shared" si="13"/>
        <v>1941.24</v>
      </c>
      <c r="J161" s="6">
        <f t="shared" si="14"/>
        <v>26206.74</v>
      </c>
    </row>
    <row r="162" spans="2:10" x14ac:dyDescent="0.25">
      <c r="B162" s="1" t="s">
        <v>16</v>
      </c>
      <c r="C162" s="1" t="s">
        <v>38</v>
      </c>
      <c r="D162" s="5">
        <v>44558</v>
      </c>
      <c r="E162" s="5">
        <v>32982</v>
      </c>
      <c r="F162" s="1">
        <v>17155</v>
      </c>
      <c r="G162" s="6">
        <f t="shared" si="11"/>
        <v>5146.5</v>
      </c>
      <c r="H162" s="6">
        <f t="shared" si="12"/>
        <v>3431</v>
      </c>
      <c r="I162" s="6">
        <f t="shared" si="13"/>
        <v>2058.6</v>
      </c>
      <c r="J162" s="6">
        <f t="shared" si="14"/>
        <v>27791.1</v>
      </c>
    </row>
    <row r="163" spans="2:10" x14ac:dyDescent="0.25">
      <c r="B163" s="1" t="s">
        <v>16</v>
      </c>
      <c r="C163" s="1" t="s">
        <v>0</v>
      </c>
      <c r="D163" s="5">
        <v>44081</v>
      </c>
      <c r="E163" s="5">
        <v>34702</v>
      </c>
      <c r="F163" s="1">
        <v>15244</v>
      </c>
      <c r="G163" s="6">
        <f t="shared" si="11"/>
        <v>4573.2</v>
      </c>
      <c r="H163" s="6">
        <f t="shared" si="12"/>
        <v>3048.8</v>
      </c>
      <c r="I163" s="6">
        <f t="shared" si="13"/>
        <v>1829.28</v>
      </c>
      <c r="J163" s="6">
        <f t="shared" si="14"/>
        <v>24695.279999999999</v>
      </c>
    </row>
    <row r="164" spans="2:10" x14ac:dyDescent="0.25">
      <c r="B164" s="1" t="s">
        <v>16</v>
      </c>
      <c r="C164" s="1" t="s">
        <v>26</v>
      </c>
      <c r="D164" s="5">
        <v>44843</v>
      </c>
      <c r="E164" s="5">
        <v>34667</v>
      </c>
      <c r="F164" s="1">
        <v>15562</v>
      </c>
      <c r="G164" s="6">
        <f t="shared" si="11"/>
        <v>4668.5999999999995</v>
      </c>
      <c r="H164" s="6">
        <f t="shared" si="12"/>
        <v>3112.4</v>
      </c>
      <c r="I164" s="6">
        <f t="shared" si="13"/>
        <v>1867.4399999999998</v>
      </c>
      <c r="J164" s="6">
        <f t="shared" si="14"/>
        <v>25210.44</v>
      </c>
    </row>
    <row r="165" spans="2:10" x14ac:dyDescent="0.25">
      <c r="B165" s="1" t="s">
        <v>16</v>
      </c>
      <c r="C165" s="1" t="s">
        <v>28</v>
      </c>
      <c r="D165" s="5">
        <v>43309</v>
      </c>
      <c r="E165" s="5">
        <v>34788</v>
      </c>
      <c r="F165" s="1">
        <v>17605</v>
      </c>
      <c r="G165" s="6">
        <f t="shared" si="11"/>
        <v>5281.5</v>
      </c>
      <c r="H165" s="6">
        <f t="shared" si="12"/>
        <v>3521</v>
      </c>
      <c r="I165" s="6">
        <f t="shared" si="13"/>
        <v>2112.6</v>
      </c>
      <c r="J165" s="6">
        <f t="shared" si="14"/>
        <v>28520.1</v>
      </c>
    </row>
    <row r="166" spans="2:10" x14ac:dyDescent="0.25">
      <c r="B166" s="1" t="s">
        <v>16</v>
      </c>
      <c r="C166" s="1" t="s">
        <v>37</v>
      </c>
      <c r="D166" s="5">
        <v>43223</v>
      </c>
      <c r="E166" s="5">
        <v>33514</v>
      </c>
      <c r="F166" s="1">
        <v>16041</v>
      </c>
      <c r="G166" s="6">
        <f t="shared" si="11"/>
        <v>4812.3</v>
      </c>
      <c r="H166" s="6">
        <f t="shared" si="12"/>
        <v>3208.2000000000003</v>
      </c>
      <c r="I166" s="6">
        <f t="shared" si="13"/>
        <v>1924.9199999999998</v>
      </c>
      <c r="J166" s="6">
        <f t="shared" si="14"/>
        <v>25986.42</v>
      </c>
    </row>
    <row r="167" spans="2:10" x14ac:dyDescent="0.25">
      <c r="B167" s="1" t="s">
        <v>16</v>
      </c>
      <c r="C167" s="1" t="s">
        <v>32</v>
      </c>
      <c r="D167" s="5">
        <v>43255</v>
      </c>
      <c r="E167" s="5">
        <v>33166</v>
      </c>
      <c r="F167" s="1">
        <v>16389</v>
      </c>
      <c r="G167" s="6">
        <f t="shared" si="11"/>
        <v>4916.7</v>
      </c>
      <c r="H167" s="6">
        <f t="shared" si="12"/>
        <v>3277.8</v>
      </c>
      <c r="I167" s="6">
        <f t="shared" si="13"/>
        <v>1966.6799999999998</v>
      </c>
      <c r="J167" s="6">
        <f t="shared" si="14"/>
        <v>26550.18</v>
      </c>
    </row>
    <row r="168" spans="2:10" x14ac:dyDescent="0.25">
      <c r="B168" s="1" t="s">
        <v>16</v>
      </c>
      <c r="C168" s="1" t="s">
        <v>23</v>
      </c>
      <c r="D168" s="5">
        <v>44365</v>
      </c>
      <c r="E168" s="5">
        <v>34406</v>
      </c>
      <c r="F168" s="1">
        <v>16241</v>
      </c>
      <c r="G168" s="6">
        <f t="shared" si="11"/>
        <v>4872.3</v>
      </c>
      <c r="H168" s="6">
        <f t="shared" si="12"/>
        <v>3248.2000000000003</v>
      </c>
      <c r="I168" s="6">
        <f t="shared" si="13"/>
        <v>1948.9199999999998</v>
      </c>
      <c r="J168" s="6">
        <f t="shared" si="14"/>
        <v>26310.42</v>
      </c>
    </row>
    <row r="169" spans="2:10" x14ac:dyDescent="0.25">
      <c r="B169" s="1" t="s">
        <v>16</v>
      </c>
      <c r="C169" s="1" t="s">
        <v>36</v>
      </c>
      <c r="D169" s="5">
        <v>44106</v>
      </c>
      <c r="E169" s="5">
        <v>33450</v>
      </c>
      <c r="F169" s="1">
        <v>15660</v>
      </c>
      <c r="G169" s="6">
        <f t="shared" si="11"/>
        <v>4698</v>
      </c>
      <c r="H169" s="6">
        <f t="shared" si="12"/>
        <v>3132</v>
      </c>
      <c r="I169" s="6">
        <f t="shared" si="13"/>
        <v>1879.1999999999998</v>
      </c>
      <c r="J169" s="6">
        <f t="shared" si="14"/>
        <v>25369.200000000001</v>
      </c>
    </row>
    <row r="170" spans="2:10" x14ac:dyDescent="0.25">
      <c r="B170" s="1" t="s">
        <v>16</v>
      </c>
      <c r="C170" s="1" t="s">
        <v>30</v>
      </c>
      <c r="D170" s="5">
        <v>43137</v>
      </c>
      <c r="E170" s="5">
        <v>32449</v>
      </c>
      <c r="F170" s="1">
        <v>17588</v>
      </c>
      <c r="G170" s="6">
        <f t="shared" si="11"/>
        <v>5276.4</v>
      </c>
      <c r="H170" s="6">
        <f t="shared" si="12"/>
        <v>3517.6000000000004</v>
      </c>
      <c r="I170" s="6">
        <f t="shared" si="13"/>
        <v>2110.56</v>
      </c>
      <c r="J170" s="6">
        <f t="shared" si="14"/>
        <v>28492.560000000001</v>
      </c>
    </row>
    <row r="171" spans="2:10" x14ac:dyDescent="0.25">
      <c r="B171" s="1" t="s">
        <v>16</v>
      </c>
      <c r="C171" s="1" t="s">
        <v>28</v>
      </c>
      <c r="D171" s="5">
        <v>43672</v>
      </c>
      <c r="E171" s="5">
        <v>33852</v>
      </c>
      <c r="F171" s="1">
        <v>16329</v>
      </c>
      <c r="G171" s="6">
        <f t="shared" si="11"/>
        <v>4898.7</v>
      </c>
      <c r="H171" s="6">
        <f t="shared" si="12"/>
        <v>3265.8</v>
      </c>
      <c r="I171" s="6">
        <f t="shared" si="13"/>
        <v>1959.48</v>
      </c>
      <c r="J171" s="6">
        <f t="shared" si="14"/>
        <v>26452.98</v>
      </c>
    </row>
    <row r="172" spans="2:10" x14ac:dyDescent="0.25">
      <c r="B172" s="1" t="s">
        <v>16</v>
      </c>
      <c r="C172" s="1" t="s">
        <v>32</v>
      </c>
      <c r="D172" s="5">
        <v>43305</v>
      </c>
      <c r="E172" s="5">
        <v>35020</v>
      </c>
      <c r="F172" s="1">
        <v>15225</v>
      </c>
      <c r="G172" s="6">
        <f t="shared" si="11"/>
        <v>4567.5</v>
      </c>
      <c r="H172" s="6">
        <f t="shared" si="12"/>
        <v>3045</v>
      </c>
      <c r="I172" s="6">
        <f t="shared" si="13"/>
        <v>1827</v>
      </c>
      <c r="J172" s="6">
        <f t="shared" si="14"/>
        <v>24664.5</v>
      </c>
    </row>
    <row r="173" spans="2:10" x14ac:dyDescent="0.25">
      <c r="B173" s="1" t="s">
        <v>16</v>
      </c>
      <c r="C173" s="1" t="s">
        <v>27</v>
      </c>
      <c r="D173" s="5">
        <v>43989</v>
      </c>
      <c r="E173" s="5">
        <v>33783</v>
      </c>
      <c r="F173" s="1">
        <v>15752</v>
      </c>
      <c r="G173" s="6">
        <f t="shared" si="11"/>
        <v>4725.5999999999995</v>
      </c>
      <c r="H173" s="6">
        <f t="shared" si="12"/>
        <v>3150.4</v>
      </c>
      <c r="I173" s="6">
        <f t="shared" si="13"/>
        <v>1890.24</v>
      </c>
      <c r="J173" s="6">
        <f t="shared" si="14"/>
        <v>25518.240000000002</v>
      </c>
    </row>
    <row r="174" spans="2:10" x14ac:dyDescent="0.25">
      <c r="B174" s="1" t="s">
        <v>16</v>
      </c>
      <c r="C174" s="1" t="s">
        <v>38</v>
      </c>
      <c r="D174" s="5">
        <v>44403</v>
      </c>
      <c r="E174" s="5">
        <v>35018</v>
      </c>
      <c r="F174" s="1">
        <v>16800</v>
      </c>
      <c r="G174" s="6">
        <f t="shared" si="11"/>
        <v>5040</v>
      </c>
      <c r="H174" s="6">
        <f t="shared" si="12"/>
        <v>3360</v>
      </c>
      <c r="I174" s="6">
        <f t="shared" si="13"/>
        <v>2016</v>
      </c>
      <c r="J174" s="6">
        <f t="shared" si="14"/>
        <v>27216</v>
      </c>
    </row>
    <row r="175" spans="2:10" x14ac:dyDescent="0.25">
      <c r="B175" s="1" t="s">
        <v>16</v>
      </c>
      <c r="C175" s="1" t="s">
        <v>25</v>
      </c>
      <c r="D175" s="5">
        <v>44475</v>
      </c>
      <c r="E175" s="5">
        <v>32613</v>
      </c>
      <c r="F175" s="1">
        <v>15671</v>
      </c>
      <c r="G175" s="6">
        <f t="shared" si="11"/>
        <v>4701.3</v>
      </c>
      <c r="H175" s="6">
        <f t="shared" si="12"/>
        <v>3134.2000000000003</v>
      </c>
      <c r="I175" s="6">
        <f t="shared" si="13"/>
        <v>1880.52</v>
      </c>
      <c r="J175" s="6">
        <f t="shared" si="14"/>
        <v>25387.02</v>
      </c>
    </row>
    <row r="176" spans="2:10" x14ac:dyDescent="0.25">
      <c r="B176" s="1" t="s">
        <v>16</v>
      </c>
      <c r="C176" s="1" t="s">
        <v>38</v>
      </c>
      <c r="D176" s="5">
        <v>43568</v>
      </c>
      <c r="E176" s="5">
        <v>34076</v>
      </c>
      <c r="F176" s="1">
        <v>16580</v>
      </c>
      <c r="G176" s="6">
        <f t="shared" si="11"/>
        <v>4974</v>
      </c>
      <c r="H176" s="6">
        <f t="shared" si="12"/>
        <v>3316</v>
      </c>
      <c r="I176" s="6">
        <f t="shared" si="13"/>
        <v>1989.6</v>
      </c>
      <c r="J176" s="6">
        <f t="shared" si="14"/>
        <v>26859.599999999999</v>
      </c>
    </row>
    <row r="177" spans="2:10" x14ac:dyDescent="0.25">
      <c r="B177" s="1" t="s">
        <v>16</v>
      </c>
      <c r="C177" s="1" t="s">
        <v>30</v>
      </c>
      <c r="D177" s="5">
        <v>44335</v>
      </c>
      <c r="E177" s="5">
        <v>35049</v>
      </c>
      <c r="F177" s="1">
        <v>17590</v>
      </c>
      <c r="G177" s="6">
        <f t="shared" si="11"/>
        <v>5277</v>
      </c>
      <c r="H177" s="6">
        <f t="shared" si="12"/>
        <v>3518</v>
      </c>
      <c r="I177" s="6">
        <f t="shared" si="13"/>
        <v>2110.7999999999997</v>
      </c>
      <c r="J177" s="6">
        <f t="shared" si="14"/>
        <v>28495.8</v>
      </c>
    </row>
    <row r="178" spans="2:10" x14ac:dyDescent="0.25">
      <c r="B178" s="1" t="s">
        <v>16</v>
      </c>
      <c r="C178" s="1" t="s">
        <v>25</v>
      </c>
      <c r="D178" s="5">
        <v>44298</v>
      </c>
      <c r="E178" s="5">
        <v>33024</v>
      </c>
      <c r="F178" s="1">
        <v>17868</v>
      </c>
      <c r="G178" s="6">
        <f t="shared" si="11"/>
        <v>5360.4</v>
      </c>
      <c r="H178" s="6">
        <f t="shared" si="12"/>
        <v>3573.6000000000004</v>
      </c>
      <c r="I178" s="6">
        <f t="shared" si="13"/>
        <v>2144.16</v>
      </c>
      <c r="J178" s="6">
        <f t="shared" si="14"/>
        <v>28946.16</v>
      </c>
    </row>
    <row r="179" spans="2:10" x14ac:dyDescent="0.25">
      <c r="B179" s="1" t="s">
        <v>16</v>
      </c>
      <c r="C179" s="1" t="s">
        <v>38</v>
      </c>
      <c r="D179" s="5">
        <v>44553</v>
      </c>
      <c r="E179" s="5">
        <v>32177</v>
      </c>
      <c r="F179" s="1">
        <v>17250</v>
      </c>
      <c r="G179" s="6">
        <f t="shared" si="11"/>
        <v>5175</v>
      </c>
      <c r="H179" s="6">
        <f t="shared" si="12"/>
        <v>3450</v>
      </c>
      <c r="I179" s="6">
        <f t="shared" si="13"/>
        <v>2070</v>
      </c>
      <c r="J179" s="6">
        <f t="shared" si="14"/>
        <v>27945</v>
      </c>
    </row>
    <row r="180" spans="2:10" x14ac:dyDescent="0.25">
      <c r="B180" s="1" t="s">
        <v>16</v>
      </c>
      <c r="C180" s="1" t="s">
        <v>0</v>
      </c>
      <c r="D180" s="5">
        <v>44723</v>
      </c>
      <c r="E180" s="5">
        <v>34548</v>
      </c>
      <c r="F180" s="1">
        <v>17054</v>
      </c>
      <c r="G180" s="6">
        <f t="shared" si="11"/>
        <v>5116.2</v>
      </c>
      <c r="H180" s="6">
        <f t="shared" si="12"/>
        <v>3410.8</v>
      </c>
      <c r="I180" s="6">
        <f t="shared" si="13"/>
        <v>2046.48</v>
      </c>
      <c r="J180" s="6">
        <f t="shared" si="14"/>
        <v>27627.48</v>
      </c>
    </row>
    <row r="181" spans="2:10" x14ac:dyDescent="0.25">
      <c r="B181" s="1" t="s">
        <v>16</v>
      </c>
      <c r="C181" s="1" t="s">
        <v>23</v>
      </c>
      <c r="D181" s="5">
        <v>43663</v>
      </c>
      <c r="E181" s="5">
        <v>32234</v>
      </c>
      <c r="F181" s="1">
        <v>15118</v>
      </c>
      <c r="G181" s="6">
        <f t="shared" si="11"/>
        <v>4535.3999999999996</v>
      </c>
      <c r="H181" s="6">
        <f t="shared" si="12"/>
        <v>3023.6000000000004</v>
      </c>
      <c r="I181" s="6">
        <f t="shared" si="13"/>
        <v>1814.1599999999999</v>
      </c>
      <c r="J181" s="6">
        <f t="shared" si="14"/>
        <v>24491.16</v>
      </c>
    </row>
    <row r="182" spans="2:10" x14ac:dyDescent="0.25">
      <c r="B182" s="1" t="s">
        <v>16</v>
      </c>
      <c r="C182" s="1" t="s">
        <v>34</v>
      </c>
      <c r="D182" s="5">
        <v>44653</v>
      </c>
      <c r="E182" s="5">
        <v>33783</v>
      </c>
      <c r="F182" s="1">
        <v>16254</v>
      </c>
      <c r="G182" s="6">
        <f t="shared" si="11"/>
        <v>4876.2</v>
      </c>
      <c r="H182" s="6">
        <f t="shared" si="12"/>
        <v>3250.8</v>
      </c>
      <c r="I182" s="6">
        <f t="shared" si="13"/>
        <v>1950.48</v>
      </c>
      <c r="J182" s="6">
        <f t="shared" si="14"/>
        <v>26331.48</v>
      </c>
    </row>
    <row r="183" spans="2:10" x14ac:dyDescent="0.25">
      <c r="B183" s="1" t="s">
        <v>16</v>
      </c>
      <c r="C183" s="1" t="s">
        <v>25</v>
      </c>
      <c r="D183" s="5">
        <v>44224</v>
      </c>
      <c r="E183" s="5">
        <v>32561</v>
      </c>
      <c r="F183" s="1">
        <v>17418</v>
      </c>
      <c r="G183" s="6">
        <f t="shared" si="11"/>
        <v>5225.3999999999996</v>
      </c>
      <c r="H183" s="6">
        <f t="shared" si="12"/>
        <v>3483.6000000000004</v>
      </c>
      <c r="I183" s="6">
        <f t="shared" si="13"/>
        <v>2090.16</v>
      </c>
      <c r="J183" s="6">
        <f t="shared" si="14"/>
        <v>28217.16</v>
      </c>
    </row>
    <row r="184" spans="2:10" x14ac:dyDescent="0.25">
      <c r="B184" s="1" t="s">
        <v>16</v>
      </c>
      <c r="C184" s="1" t="s">
        <v>27</v>
      </c>
      <c r="D184" s="5">
        <v>44806</v>
      </c>
      <c r="E184" s="5">
        <v>33806</v>
      </c>
      <c r="F184" s="1">
        <v>17546</v>
      </c>
      <c r="G184" s="6">
        <f t="shared" si="11"/>
        <v>5263.8</v>
      </c>
      <c r="H184" s="6">
        <f t="shared" si="12"/>
        <v>3509.2000000000003</v>
      </c>
      <c r="I184" s="6">
        <f t="shared" si="13"/>
        <v>2105.52</v>
      </c>
      <c r="J184" s="6">
        <f t="shared" si="14"/>
        <v>28424.52</v>
      </c>
    </row>
    <row r="185" spans="2:10" x14ac:dyDescent="0.25">
      <c r="B185" s="1" t="s">
        <v>16</v>
      </c>
      <c r="C185" s="1" t="s">
        <v>20</v>
      </c>
      <c r="D185" s="5">
        <v>43651</v>
      </c>
      <c r="E185" s="5">
        <v>34717</v>
      </c>
      <c r="F185" s="1">
        <v>16158</v>
      </c>
      <c r="G185" s="6">
        <f t="shared" si="11"/>
        <v>4847.3999999999996</v>
      </c>
      <c r="H185" s="6">
        <f t="shared" si="12"/>
        <v>3231.6000000000004</v>
      </c>
      <c r="I185" s="6">
        <f t="shared" si="13"/>
        <v>1938.96</v>
      </c>
      <c r="J185" s="6">
        <f t="shared" si="14"/>
        <v>26175.96</v>
      </c>
    </row>
    <row r="186" spans="2:10" x14ac:dyDescent="0.25">
      <c r="B186" s="1" t="s">
        <v>16</v>
      </c>
      <c r="C186" s="1" t="s">
        <v>34</v>
      </c>
      <c r="D186" s="5">
        <v>43530</v>
      </c>
      <c r="E186" s="5">
        <v>32388</v>
      </c>
      <c r="F186" s="1">
        <v>15660</v>
      </c>
      <c r="G186" s="6">
        <f t="shared" si="11"/>
        <v>4698</v>
      </c>
      <c r="H186" s="6">
        <f t="shared" si="12"/>
        <v>3132</v>
      </c>
      <c r="I186" s="6">
        <f t="shared" si="13"/>
        <v>1879.1999999999998</v>
      </c>
      <c r="J186" s="6">
        <f t="shared" si="14"/>
        <v>25369.200000000001</v>
      </c>
    </row>
    <row r="187" spans="2:10" x14ac:dyDescent="0.25">
      <c r="B187" s="1" t="s">
        <v>16</v>
      </c>
      <c r="C187" s="1" t="s">
        <v>22</v>
      </c>
      <c r="D187" s="5">
        <v>43871</v>
      </c>
      <c r="E187" s="5">
        <v>33913</v>
      </c>
      <c r="F187" s="1">
        <v>17738</v>
      </c>
      <c r="G187" s="6">
        <f t="shared" si="11"/>
        <v>5321.4</v>
      </c>
      <c r="H187" s="6">
        <f t="shared" si="12"/>
        <v>3547.6000000000004</v>
      </c>
      <c r="I187" s="6">
        <f t="shared" si="13"/>
        <v>2128.56</v>
      </c>
      <c r="J187" s="6">
        <f t="shared" si="14"/>
        <v>28735.56</v>
      </c>
    </row>
    <row r="188" spans="2:10" x14ac:dyDescent="0.25">
      <c r="B188" s="1" t="s">
        <v>16</v>
      </c>
      <c r="C188" s="1" t="s">
        <v>24</v>
      </c>
      <c r="D188" s="5">
        <v>44471</v>
      </c>
      <c r="E188" s="5">
        <v>33114</v>
      </c>
      <c r="F188" s="1">
        <v>16335</v>
      </c>
      <c r="G188" s="6">
        <f t="shared" si="11"/>
        <v>4900.5</v>
      </c>
      <c r="H188" s="6">
        <f t="shared" si="12"/>
        <v>3267</v>
      </c>
      <c r="I188" s="6">
        <f t="shared" si="13"/>
        <v>1960.1999999999998</v>
      </c>
      <c r="J188" s="6">
        <f t="shared" si="14"/>
        <v>26462.7</v>
      </c>
    </row>
    <row r="189" spans="2:10" x14ac:dyDescent="0.25">
      <c r="B189" s="1" t="s">
        <v>16</v>
      </c>
      <c r="C189" s="1" t="s">
        <v>29</v>
      </c>
      <c r="D189" s="5">
        <v>43871</v>
      </c>
      <c r="E189" s="5">
        <v>34493</v>
      </c>
      <c r="F189" s="1">
        <v>17070</v>
      </c>
      <c r="G189" s="6">
        <f t="shared" si="11"/>
        <v>5121</v>
      </c>
      <c r="H189" s="6">
        <f t="shared" si="12"/>
        <v>3414</v>
      </c>
      <c r="I189" s="6">
        <f t="shared" si="13"/>
        <v>2048.4</v>
      </c>
      <c r="J189" s="6">
        <f t="shared" si="14"/>
        <v>27653.4</v>
      </c>
    </row>
    <row r="190" spans="2:10" x14ac:dyDescent="0.25">
      <c r="B190" s="1" t="s">
        <v>16</v>
      </c>
      <c r="C190" s="1" t="s">
        <v>30</v>
      </c>
      <c r="D190" s="5">
        <v>44677</v>
      </c>
      <c r="E190" s="5">
        <v>33013</v>
      </c>
      <c r="F190" s="1">
        <v>15623</v>
      </c>
      <c r="G190" s="6">
        <f t="shared" si="11"/>
        <v>4686.8999999999996</v>
      </c>
      <c r="H190" s="6">
        <f t="shared" si="12"/>
        <v>3124.6000000000004</v>
      </c>
      <c r="I190" s="6">
        <f t="shared" si="13"/>
        <v>1874.76</v>
      </c>
      <c r="J190" s="6">
        <f t="shared" si="14"/>
        <v>25309.26</v>
      </c>
    </row>
    <row r="191" spans="2:10" x14ac:dyDescent="0.25">
      <c r="B191" s="1" t="s">
        <v>16</v>
      </c>
      <c r="C191" s="1" t="s">
        <v>23</v>
      </c>
      <c r="D191" s="5">
        <v>43949</v>
      </c>
      <c r="E191" s="5">
        <v>32766</v>
      </c>
      <c r="F191" s="1">
        <v>15635</v>
      </c>
      <c r="G191" s="6">
        <f t="shared" si="11"/>
        <v>4690.5</v>
      </c>
      <c r="H191" s="6">
        <f t="shared" si="12"/>
        <v>3127</v>
      </c>
      <c r="I191" s="6">
        <f t="shared" si="13"/>
        <v>1876.1999999999998</v>
      </c>
      <c r="J191" s="6">
        <f t="shared" si="14"/>
        <v>25328.7</v>
      </c>
    </row>
    <row r="192" spans="2:10" x14ac:dyDescent="0.25">
      <c r="B192" s="1" t="s">
        <v>16</v>
      </c>
      <c r="C192" s="1" t="s">
        <v>30</v>
      </c>
      <c r="D192" s="5">
        <v>43876</v>
      </c>
      <c r="E192" s="5">
        <v>34729</v>
      </c>
      <c r="F192" s="1">
        <v>16081</v>
      </c>
      <c r="G192" s="6">
        <f t="shared" si="11"/>
        <v>4824.3</v>
      </c>
      <c r="H192" s="6">
        <f t="shared" si="12"/>
        <v>3216.2000000000003</v>
      </c>
      <c r="I192" s="6">
        <f t="shared" si="13"/>
        <v>1929.72</v>
      </c>
      <c r="J192" s="6">
        <f t="shared" si="14"/>
        <v>26051.22</v>
      </c>
    </row>
    <row r="193" spans="2:10" x14ac:dyDescent="0.25">
      <c r="B193" s="1" t="s">
        <v>16</v>
      </c>
      <c r="C193" s="1" t="s">
        <v>25</v>
      </c>
      <c r="D193" s="5">
        <v>44510</v>
      </c>
      <c r="E193" s="5">
        <v>34174</v>
      </c>
      <c r="F193" s="1">
        <v>17412</v>
      </c>
      <c r="G193" s="6">
        <f t="shared" si="11"/>
        <v>5223.5999999999995</v>
      </c>
      <c r="H193" s="6">
        <f t="shared" si="12"/>
        <v>3482.4</v>
      </c>
      <c r="I193" s="6">
        <f t="shared" si="13"/>
        <v>2089.44</v>
      </c>
      <c r="J193" s="6">
        <f t="shared" si="14"/>
        <v>28207.439999999999</v>
      </c>
    </row>
    <row r="194" spans="2:10" x14ac:dyDescent="0.25">
      <c r="B194" s="1" t="s">
        <v>16</v>
      </c>
      <c r="C194" s="1" t="s">
        <v>0</v>
      </c>
      <c r="D194" s="5">
        <v>44153</v>
      </c>
      <c r="E194" s="5">
        <v>32546</v>
      </c>
      <c r="F194" s="1">
        <v>17764</v>
      </c>
      <c r="G194" s="6">
        <f t="shared" si="11"/>
        <v>5329.2</v>
      </c>
      <c r="H194" s="6">
        <f t="shared" si="12"/>
        <v>3552.8</v>
      </c>
      <c r="I194" s="6">
        <f t="shared" si="13"/>
        <v>2131.6799999999998</v>
      </c>
      <c r="J194" s="6">
        <f t="shared" si="14"/>
        <v>28777.68</v>
      </c>
    </row>
    <row r="195" spans="2:10" x14ac:dyDescent="0.25">
      <c r="B195" s="1" t="s">
        <v>16</v>
      </c>
      <c r="C195" s="1" t="s">
        <v>34</v>
      </c>
      <c r="D195" s="5">
        <v>43727</v>
      </c>
      <c r="E195" s="5">
        <v>34367</v>
      </c>
      <c r="F195" s="1">
        <v>15311</v>
      </c>
      <c r="G195" s="6">
        <f t="shared" si="11"/>
        <v>4593.3</v>
      </c>
      <c r="H195" s="6">
        <f t="shared" si="12"/>
        <v>3062.2000000000003</v>
      </c>
      <c r="I195" s="6">
        <f t="shared" si="13"/>
        <v>1837.32</v>
      </c>
      <c r="J195" s="6">
        <f t="shared" si="14"/>
        <v>24803.82</v>
      </c>
    </row>
    <row r="196" spans="2:10" x14ac:dyDescent="0.25">
      <c r="B196" s="1" t="s">
        <v>16</v>
      </c>
      <c r="C196" s="1" t="s">
        <v>36</v>
      </c>
      <c r="D196" s="5">
        <v>44333</v>
      </c>
      <c r="E196" s="5">
        <v>33387</v>
      </c>
      <c r="F196" s="1">
        <v>17772</v>
      </c>
      <c r="G196" s="6">
        <f t="shared" si="11"/>
        <v>5331.5999999999995</v>
      </c>
      <c r="H196" s="6">
        <f t="shared" si="12"/>
        <v>3554.4</v>
      </c>
      <c r="I196" s="6">
        <f t="shared" si="13"/>
        <v>2132.64</v>
      </c>
      <c r="J196" s="6">
        <f t="shared" si="14"/>
        <v>28790.639999999999</v>
      </c>
    </row>
    <row r="197" spans="2:10" x14ac:dyDescent="0.25">
      <c r="B197" s="1" t="s">
        <v>16</v>
      </c>
      <c r="C197" s="1" t="s">
        <v>23</v>
      </c>
      <c r="D197" s="5">
        <v>43348</v>
      </c>
      <c r="E197" s="5">
        <v>32738</v>
      </c>
      <c r="F197" s="1">
        <v>15638</v>
      </c>
      <c r="G197" s="6">
        <f t="shared" si="11"/>
        <v>4691.3999999999996</v>
      </c>
      <c r="H197" s="6">
        <f t="shared" si="12"/>
        <v>3127.6000000000004</v>
      </c>
      <c r="I197" s="6">
        <f t="shared" si="13"/>
        <v>1876.56</v>
      </c>
      <c r="J197" s="6">
        <f t="shared" si="14"/>
        <v>25333.56</v>
      </c>
    </row>
    <row r="198" spans="2:10" x14ac:dyDescent="0.25">
      <c r="B198" s="1" t="s">
        <v>16</v>
      </c>
      <c r="C198" s="1" t="s">
        <v>28</v>
      </c>
      <c r="D198" s="5">
        <v>44801</v>
      </c>
      <c r="E198" s="5">
        <v>32525</v>
      </c>
      <c r="F198" s="1">
        <v>17513</v>
      </c>
      <c r="G198" s="6">
        <f t="shared" si="11"/>
        <v>5253.9</v>
      </c>
      <c r="H198" s="6">
        <f t="shared" si="12"/>
        <v>3502.6000000000004</v>
      </c>
      <c r="I198" s="6">
        <f t="shared" si="13"/>
        <v>2101.56</v>
      </c>
      <c r="J198" s="6">
        <f t="shared" si="14"/>
        <v>28371.06</v>
      </c>
    </row>
    <row r="199" spans="2:10" x14ac:dyDescent="0.25">
      <c r="B199" s="1" t="s">
        <v>16</v>
      </c>
      <c r="C199" s="1" t="s">
        <v>21</v>
      </c>
      <c r="D199" s="5">
        <v>43285</v>
      </c>
      <c r="E199" s="5">
        <v>33904</v>
      </c>
      <c r="F199" s="1">
        <v>15195</v>
      </c>
      <c r="G199" s="6">
        <f t="shared" ref="G199:G262" si="15">F199*0.3</f>
        <v>4558.5</v>
      </c>
      <c r="H199" s="6">
        <f t="shared" si="12"/>
        <v>3039</v>
      </c>
      <c r="I199" s="6">
        <f t="shared" si="13"/>
        <v>1823.3999999999999</v>
      </c>
      <c r="J199" s="6">
        <f t="shared" si="14"/>
        <v>24615.9</v>
      </c>
    </row>
    <row r="200" spans="2:10" x14ac:dyDescent="0.25">
      <c r="B200" s="1" t="s">
        <v>16</v>
      </c>
      <c r="C200" s="1" t="s">
        <v>0</v>
      </c>
      <c r="D200" s="5">
        <v>44804</v>
      </c>
      <c r="E200" s="5">
        <v>32471</v>
      </c>
      <c r="F200" s="1">
        <v>16691</v>
      </c>
      <c r="G200" s="6">
        <f t="shared" si="15"/>
        <v>5007.3</v>
      </c>
      <c r="H200" s="6">
        <f t="shared" si="12"/>
        <v>3338.2000000000003</v>
      </c>
      <c r="I200" s="6">
        <f t="shared" si="13"/>
        <v>2002.9199999999998</v>
      </c>
      <c r="J200" s="6">
        <f t="shared" si="14"/>
        <v>27039.42</v>
      </c>
    </row>
    <row r="201" spans="2:10" x14ac:dyDescent="0.25">
      <c r="B201" s="1" t="s">
        <v>16</v>
      </c>
      <c r="C201" s="1" t="s">
        <v>30</v>
      </c>
      <c r="D201" s="5">
        <v>44125</v>
      </c>
      <c r="E201" s="5">
        <v>34193</v>
      </c>
      <c r="F201" s="1">
        <v>17040</v>
      </c>
      <c r="G201" s="6">
        <f t="shared" si="15"/>
        <v>5112</v>
      </c>
      <c r="H201" s="6">
        <f t="shared" si="12"/>
        <v>3408</v>
      </c>
      <c r="I201" s="6">
        <f t="shared" si="13"/>
        <v>2044.8</v>
      </c>
      <c r="J201" s="6">
        <f t="shared" si="14"/>
        <v>27604.799999999999</v>
      </c>
    </row>
    <row r="202" spans="2:10" x14ac:dyDescent="0.25">
      <c r="B202" s="1" t="s">
        <v>16</v>
      </c>
      <c r="C202" s="1" t="s">
        <v>29</v>
      </c>
      <c r="D202" s="5">
        <v>43349</v>
      </c>
      <c r="E202" s="5">
        <v>34205</v>
      </c>
      <c r="F202" s="1">
        <v>16871</v>
      </c>
      <c r="G202" s="6">
        <f t="shared" si="15"/>
        <v>5061.3</v>
      </c>
      <c r="H202" s="6">
        <f t="shared" si="12"/>
        <v>3374.2000000000003</v>
      </c>
      <c r="I202" s="6">
        <f t="shared" si="13"/>
        <v>2024.52</v>
      </c>
      <c r="J202" s="6">
        <f t="shared" si="14"/>
        <v>27331.02</v>
      </c>
    </row>
    <row r="203" spans="2:10" x14ac:dyDescent="0.25">
      <c r="B203" s="1" t="s">
        <v>16</v>
      </c>
      <c r="C203" s="1" t="s">
        <v>26</v>
      </c>
      <c r="D203" s="5">
        <v>44780</v>
      </c>
      <c r="E203" s="5">
        <v>32868</v>
      </c>
      <c r="F203" s="1">
        <v>17243</v>
      </c>
      <c r="G203" s="6">
        <f t="shared" si="15"/>
        <v>5172.8999999999996</v>
      </c>
      <c r="H203" s="6">
        <f t="shared" si="12"/>
        <v>3448.6000000000004</v>
      </c>
      <c r="I203" s="6">
        <f t="shared" si="13"/>
        <v>2069.16</v>
      </c>
      <c r="J203" s="6">
        <f t="shared" si="14"/>
        <v>27933.66</v>
      </c>
    </row>
    <row r="204" spans="2:10" x14ac:dyDescent="0.25">
      <c r="B204" s="1" t="s">
        <v>16</v>
      </c>
      <c r="C204" s="1" t="s">
        <v>33</v>
      </c>
      <c r="D204" s="5">
        <v>43519</v>
      </c>
      <c r="E204" s="5">
        <v>34437</v>
      </c>
      <c r="F204" s="1">
        <v>15245</v>
      </c>
      <c r="G204" s="6">
        <f t="shared" si="15"/>
        <v>4573.5</v>
      </c>
      <c r="H204" s="6">
        <f t="shared" si="12"/>
        <v>3049</v>
      </c>
      <c r="I204" s="6">
        <f t="shared" si="13"/>
        <v>1829.3999999999999</v>
      </c>
      <c r="J204" s="6">
        <f t="shared" si="14"/>
        <v>24696.9</v>
      </c>
    </row>
    <row r="205" spans="2:10" x14ac:dyDescent="0.25">
      <c r="B205" s="1" t="s">
        <v>16</v>
      </c>
      <c r="C205" s="1" t="s">
        <v>24</v>
      </c>
      <c r="D205" s="5">
        <v>44834</v>
      </c>
      <c r="E205" s="5">
        <v>34220</v>
      </c>
      <c r="F205" s="1">
        <v>15763</v>
      </c>
      <c r="G205" s="6">
        <f t="shared" si="15"/>
        <v>4728.8999999999996</v>
      </c>
      <c r="H205" s="6">
        <f t="shared" ref="H205:H268" si="16">F205*20%</f>
        <v>3152.6000000000004</v>
      </c>
      <c r="I205" s="6">
        <f t="shared" ref="I205:I268" si="17">F205*12%</f>
        <v>1891.56</v>
      </c>
      <c r="J205" s="6">
        <f t="shared" ref="J205:J268" si="18">SUM(F205:I205)</f>
        <v>25536.06</v>
      </c>
    </row>
    <row r="206" spans="2:10" x14ac:dyDescent="0.25">
      <c r="B206" s="1" t="s">
        <v>16</v>
      </c>
      <c r="C206" s="1" t="s">
        <v>31</v>
      </c>
      <c r="D206" s="5">
        <v>44867</v>
      </c>
      <c r="E206" s="5">
        <v>34228</v>
      </c>
      <c r="F206" s="1">
        <v>17257</v>
      </c>
      <c r="G206" s="6">
        <f t="shared" si="15"/>
        <v>5177.0999999999995</v>
      </c>
      <c r="H206" s="6">
        <f t="shared" si="16"/>
        <v>3451.4</v>
      </c>
      <c r="I206" s="6">
        <f t="shared" si="17"/>
        <v>2070.84</v>
      </c>
      <c r="J206" s="6">
        <f t="shared" si="18"/>
        <v>27956.34</v>
      </c>
    </row>
    <row r="207" spans="2:10" x14ac:dyDescent="0.25">
      <c r="B207" s="1" t="s">
        <v>16</v>
      </c>
      <c r="C207" s="1" t="s">
        <v>37</v>
      </c>
      <c r="D207" s="5">
        <v>43695</v>
      </c>
      <c r="E207" s="5">
        <v>33224</v>
      </c>
      <c r="F207" s="1">
        <v>17397</v>
      </c>
      <c r="G207" s="6">
        <f t="shared" si="15"/>
        <v>5219.0999999999995</v>
      </c>
      <c r="H207" s="6">
        <f t="shared" si="16"/>
        <v>3479.4</v>
      </c>
      <c r="I207" s="6">
        <f t="shared" si="17"/>
        <v>2087.64</v>
      </c>
      <c r="J207" s="6">
        <f t="shared" si="18"/>
        <v>28183.14</v>
      </c>
    </row>
    <row r="208" spans="2:10" x14ac:dyDescent="0.25">
      <c r="B208" s="1" t="s">
        <v>16</v>
      </c>
      <c r="C208" s="1" t="s">
        <v>26</v>
      </c>
      <c r="D208" s="5">
        <v>44699</v>
      </c>
      <c r="E208" s="5">
        <v>33967</v>
      </c>
      <c r="F208" s="1">
        <v>16863</v>
      </c>
      <c r="G208" s="6">
        <f t="shared" si="15"/>
        <v>5058.8999999999996</v>
      </c>
      <c r="H208" s="6">
        <f t="shared" si="16"/>
        <v>3372.6000000000004</v>
      </c>
      <c r="I208" s="6">
        <f t="shared" si="17"/>
        <v>2023.56</v>
      </c>
      <c r="J208" s="6">
        <f t="shared" si="18"/>
        <v>27318.06</v>
      </c>
    </row>
    <row r="209" spans="2:10" x14ac:dyDescent="0.25">
      <c r="B209" s="1" t="s">
        <v>16</v>
      </c>
      <c r="C209" s="1" t="s">
        <v>24</v>
      </c>
      <c r="D209" s="5">
        <v>44827</v>
      </c>
      <c r="E209" s="5">
        <v>34808</v>
      </c>
      <c r="F209" s="1">
        <v>16197</v>
      </c>
      <c r="G209" s="6">
        <f t="shared" si="15"/>
        <v>4859.0999999999995</v>
      </c>
      <c r="H209" s="6">
        <f t="shared" si="16"/>
        <v>3239.4</v>
      </c>
      <c r="I209" s="6">
        <f t="shared" si="17"/>
        <v>1943.6399999999999</v>
      </c>
      <c r="J209" s="6">
        <f t="shared" si="18"/>
        <v>26239.14</v>
      </c>
    </row>
    <row r="210" spans="2:10" x14ac:dyDescent="0.25">
      <c r="B210" s="1" t="s">
        <v>16</v>
      </c>
      <c r="C210" s="1" t="s">
        <v>28</v>
      </c>
      <c r="D210" s="5">
        <v>43641</v>
      </c>
      <c r="E210" s="5">
        <v>34462</v>
      </c>
      <c r="F210" s="1">
        <v>17087</v>
      </c>
      <c r="G210" s="6">
        <f t="shared" si="15"/>
        <v>5126.0999999999995</v>
      </c>
      <c r="H210" s="6">
        <f t="shared" si="16"/>
        <v>3417.4</v>
      </c>
      <c r="I210" s="6">
        <f t="shared" si="17"/>
        <v>2050.44</v>
      </c>
      <c r="J210" s="6">
        <f t="shared" si="18"/>
        <v>27680.94</v>
      </c>
    </row>
    <row r="211" spans="2:10" x14ac:dyDescent="0.25">
      <c r="B211" s="1" t="s">
        <v>16</v>
      </c>
      <c r="C211" s="1" t="s">
        <v>36</v>
      </c>
      <c r="D211" s="5">
        <v>43910</v>
      </c>
      <c r="E211" s="5">
        <v>33157</v>
      </c>
      <c r="F211" s="1">
        <v>17392</v>
      </c>
      <c r="G211" s="6">
        <f t="shared" si="15"/>
        <v>5217.5999999999995</v>
      </c>
      <c r="H211" s="6">
        <f t="shared" si="16"/>
        <v>3478.4</v>
      </c>
      <c r="I211" s="6">
        <f t="shared" si="17"/>
        <v>2087.04</v>
      </c>
      <c r="J211" s="6">
        <f t="shared" si="18"/>
        <v>28175.040000000001</v>
      </c>
    </row>
    <row r="212" spans="2:10" x14ac:dyDescent="0.25">
      <c r="B212" s="1" t="s">
        <v>16</v>
      </c>
      <c r="C212" s="1" t="s">
        <v>29</v>
      </c>
      <c r="D212" s="5">
        <v>43263</v>
      </c>
      <c r="E212" s="5">
        <v>34860</v>
      </c>
      <c r="F212" s="1">
        <v>17706</v>
      </c>
      <c r="G212" s="6">
        <f t="shared" si="15"/>
        <v>5311.8</v>
      </c>
      <c r="H212" s="6">
        <f t="shared" si="16"/>
        <v>3541.2000000000003</v>
      </c>
      <c r="I212" s="6">
        <f t="shared" si="17"/>
        <v>2124.7199999999998</v>
      </c>
      <c r="J212" s="6">
        <f t="shared" si="18"/>
        <v>28683.72</v>
      </c>
    </row>
    <row r="213" spans="2:10" x14ac:dyDescent="0.25">
      <c r="B213" s="1" t="s">
        <v>16</v>
      </c>
      <c r="C213" s="1" t="s">
        <v>20</v>
      </c>
      <c r="D213" s="5">
        <v>43373</v>
      </c>
      <c r="E213" s="5">
        <v>32266</v>
      </c>
      <c r="F213" s="1">
        <v>16058</v>
      </c>
      <c r="G213" s="6">
        <f t="shared" si="15"/>
        <v>4817.3999999999996</v>
      </c>
      <c r="H213" s="6">
        <f t="shared" si="16"/>
        <v>3211.6000000000004</v>
      </c>
      <c r="I213" s="6">
        <f t="shared" si="17"/>
        <v>1926.96</v>
      </c>
      <c r="J213" s="6">
        <f t="shared" si="18"/>
        <v>26013.96</v>
      </c>
    </row>
    <row r="214" spans="2:10" x14ac:dyDescent="0.25">
      <c r="B214" s="1" t="s">
        <v>16</v>
      </c>
      <c r="C214" s="1" t="s">
        <v>34</v>
      </c>
      <c r="D214" s="5">
        <v>43476</v>
      </c>
      <c r="E214" s="5">
        <v>33119</v>
      </c>
      <c r="F214" s="1">
        <v>15708</v>
      </c>
      <c r="G214" s="6">
        <f t="shared" si="15"/>
        <v>4712.3999999999996</v>
      </c>
      <c r="H214" s="6">
        <f t="shared" si="16"/>
        <v>3141.6000000000004</v>
      </c>
      <c r="I214" s="6">
        <f t="shared" si="17"/>
        <v>1884.96</v>
      </c>
      <c r="J214" s="6">
        <f t="shared" si="18"/>
        <v>25446.959999999999</v>
      </c>
    </row>
    <row r="215" spans="2:10" x14ac:dyDescent="0.25">
      <c r="B215" s="1" t="s">
        <v>16</v>
      </c>
      <c r="C215" s="1" t="s">
        <v>21</v>
      </c>
      <c r="D215" s="5">
        <v>44072</v>
      </c>
      <c r="E215" s="5">
        <v>34919</v>
      </c>
      <c r="F215" s="1">
        <v>15729</v>
      </c>
      <c r="G215" s="6">
        <f t="shared" si="15"/>
        <v>4718.7</v>
      </c>
      <c r="H215" s="6">
        <f t="shared" si="16"/>
        <v>3145.8</v>
      </c>
      <c r="I215" s="6">
        <f t="shared" si="17"/>
        <v>1887.48</v>
      </c>
      <c r="J215" s="6">
        <f t="shared" si="18"/>
        <v>25480.98</v>
      </c>
    </row>
    <row r="216" spans="2:10" x14ac:dyDescent="0.25">
      <c r="B216" s="1" t="s">
        <v>16</v>
      </c>
      <c r="C216" s="1" t="s">
        <v>38</v>
      </c>
      <c r="D216" s="5">
        <v>43270</v>
      </c>
      <c r="E216" s="5">
        <v>32678</v>
      </c>
      <c r="F216" s="1">
        <v>15121</v>
      </c>
      <c r="G216" s="6">
        <f t="shared" si="15"/>
        <v>4536.3</v>
      </c>
      <c r="H216" s="6">
        <f t="shared" si="16"/>
        <v>3024.2000000000003</v>
      </c>
      <c r="I216" s="6">
        <f t="shared" si="17"/>
        <v>1814.52</v>
      </c>
      <c r="J216" s="6">
        <f t="shared" si="18"/>
        <v>24496.02</v>
      </c>
    </row>
    <row r="217" spans="2:10" x14ac:dyDescent="0.25">
      <c r="B217" s="1" t="s">
        <v>16</v>
      </c>
      <c r="C217" s="1" t="s">
        <v>25</v>
      </c>
      <c r="D217" s="5">
        <v>44699</v>
      </c>
      <c r="E217" s="5">
        <v>32721</v>
      </c>
      <c r="F217" s="1">
        <v>15467</v>
      </c>
      <c r="G217" s="6">
        <f t="shared" si="15"/>
        <v>4640.0999999999995</v>
      </c>
      <c r="H217" s="6">
        <f t="shared" si="16"/>
        <v>3093.4</v>
      </c>
      <c r="I217" s="6">
        <f t="shared" si="17"/>
        <v>1856.04</v>
      </c>
      <c r="J217" s="6">
        <f t="shared" si="18"/>
        <v>25056.54</v>
      </c>
    </row>
    <row r="218" spans="2:10" x14ac:dyDescent="0.25">
      <c r="B218" s="1" t="s">
        <v>16</v>
      </c>
      <c r="C218" s="1" t="s">
        <v>35</v>
      </c>
      <c r="D218" s="5">
        <v>44880</v>
      </c>
      <c r="E218" s="5">
        <v>32365</v>
      </c>
      <c r="F218" s="1">
        <v>17271</v>
      </c>
      <c r="G218" s="6">
        <f t="shared" si="15"/>
        <v>5181.3</v>
      </c>
      <c r="H218" s="6">
        <f t="shared" si="16"/>
        <v>3454.2000000000003</v>
      </c>
      <c r="I218" s="6">
        <f t="shared" si="17"/>
        <v>2072.52</v>
      </c>
      <c r="J218" s="6">
        <f t="shared" si="18"/>
        <v>27979.02</v>
      </c>
    </row>
    <row r="219" spans="2:10" x14ac:dyDescent="0.25">
      <c r="B219" s="1" t="s">
        <v>16</v>
      </c>
      <c r="C219" s="1" t="s">
        <v>35</v>
      </c>
      <c r="D219" s="5">
        <v>43176</v>
      </c>
      <c r="E219" s="5">
        <v>33112</v>
      </c>
      <c r="F219" s="1">
        <v>17868</v>
      </c>
      <c r="G219" s="6">
        <f t="shared" si="15"/>
        <v>5360.4</v>
      </c>
      <c r="H219" s="6">
        <f t="shared" si="16"/>
        <v>3573.6000000000004</v>
      </c>
      <c r="I219" s="6">
        <f t="shared" si="17"/>
        <v>2144.16</v>
      </c>
      <c r="J219" s="6">
        <f t="shared" si="18"/>
        <v>28946.16</v>
      </c>
    </row>
    <row r="220" spans="2:10" x14ac:dyDescent="0.25">
      <c r="B220" s="1" t="s">
        <v>16</v>
      </c>
      <c r="C220" s="1" t="s">
        <v>31</v>
      </c>
      <c r="D220" s="5">
        <v>43294</v>
      </c>
      <c r="E220" s="5">
        <v>32608</v>
      </c>
      <c r="F220" s="1">
        <v>15573</v>
      </c>
      <c r="G220" s="6">
        <f t="shared" si="15"/>
        <v>4671.8999999999996</v>
      </c>
      <c r="H220" s="6">
        <f t="shared" si="16"/>
        <v>3114.6000000000004</v>
      </c>
      <c r="I220" s="6">
        <f t="shared" si="17"/>
        <v>1868.76</v>
      </c>
      <c r="J220" s="6">
        <f t="shared" si="18"/>
        <v>25228.26</v>
      </c>
    </row>
    <row r="221" spans="2:10" x14ac:dyDescent="0.25">
      <c r="B221" s="1" t="s">
        <v>16</v>
      </c>
      <c r="C221" s="1" t="s">
        <v>31</v>
      </c>
      <c r="D221" s="5">
        <v>44269</v>
      </c>
      <c r="E221" s="5">
        <v>34113</v>
      </c>
      <c r="F221" s="1">
        <v>17329</v>
      </c>
      <c r="G221" s="6">
        <f t="shared" si="15"/>
        <v>5198.7</v>
      </c>
      <c r="H221" s="6">
        <f t="shared" si="16"/>
        <v>3465.8</v>
      </c>
      <c r="I221" s="6">
        <f t="shared" si="17"/>
        <v>2079.48</v>
      </c>
      <c r="J221" s="6">
        <f t="shared" si="18"/>
        <v>28072.98</v>
      </c>
    </row>
    <row r="222" spans="2:10" x14ac:dyDescent="0.25">
      <c r="B222" s="1" t="s">
        <v>16</v>
      </c>
      <c r="C222" s="1" t="s">
        <v>21</v>
      </c>
      <c r="D222" s="5">
        <v>44418</v>
      </c>
      <c r="E222" s="5">
        <v>33882</v>
      </c>
      <c r="F222" s="1">
        <v>15339</v>
      </c>
      <c r="G222" s="6">
        <f t="shared" si="15"/>
        <v>4601.7</v>
      </c>
      <c r="H222" s="6">
        <f t="shared" si="16"/>
        <v>3067.8</v>
      </c>
      <c r="I222" s="6">
        <f t="shared" si="17"/>
        <v>1840.6799999999998</v>
      </c>
      <c r="J222" s="6">
        <f t="shared" si="18"/>
        <v>24849.18</v>
      </c>
    </row>
    <row r="223" spans="2:10" x14ac:dyDescent="0.25">
      <c r="B223" s="1" t="s">
        <v>16</v>
      </c>
      <c r="C223" s="1" t="s">
        <v>36</v>
      </c>
      <c r="D223" s="5">
        <v>44394</v>
      </c>
      <c r="E223" s="5">
        <v>34053</v>
      </c>
      <c r="F223" s="1">
        <v>16124</v>
      </c>
      <c r="G223" s="6">
        <f t="shared" si="15"/>
        <v>4837.2</v>
      </c>
      <c r="H223" s="6">
        <f t="shared" si="16"/>
        <v>3224.8</v>
      </c>
      <c r="I223" s="6">
        <f t="shared" si="17"/>
        <v>1934.8799999999999</v>
      </c>
      <c r="J223" s="6">
        <f t="shared" si="18"/>
        <v>26120.880000000001</v>
      </c>
    </row>
    <row r="224" spans="2:10" x14ac:dyDescent="0.25">
      <c r="B224" s="1" t="s">
        <v>16</v>
      </c>
      <c r="C224" s="1" t="s">
        <v>0</v>
      </c>
      <c r="D224" s="5">
        <v>44182</v>
      </c>
      <c r="E224" s="5">
        <v>34275</v>
      </c>
      <c r="F224" s="1">
        <v>17625</v>
      </c>
      <c r="G224" s="6">
        <f t="shared" si="15"/>
        <v>5287.5</v>
      </c>
      <c r="H224" s="6">
        <f t="shared" si="16"/>
        <v>3525</v>
      </c>
      <c r="I224" s="6">
        <f t="shared" si="17"/>
        <v>2115</v>
      </c>
      <c r="J224" s="6">
        <f t="shared" si="18"/>
        <v>28552.5</v>
      </c>
    </row>
    <row r="225" spans="2:10" x14ac:dyDescent="0.25">
      <c r="B225" s="1" t="s">
        <v>16</v>
      </c>
      <c r="C225" s="1" t="s">
        <v>21</v>
      </c>
      <c r="D225" s="5">
        <v>44342</v>
      </c>
      <c r="E225" s="5">
        <v>32205</v>
      </c>
      <c r="F225" s="1">
        <v>16142</v>
      </c>
      <c r="G225" s="6">
        <f t="shared" si="15"/>
        <v>4842.5999999999995</v>
      </c>
      <c r="H225" s="6">
        <f t="shared" si="16"/>
        <v>3228.4</v>
      </c>
      <c r="I225" s="6">
        <f t="shared" si="17"/>
        <v>1937.04</v>
      </c>
      <c r="J225" s="6">
        <f t="shared" si="18"/>
        <v>26150.04</v>
      </c>
    </row>
    <row r="226" spans="2:10" x14ac:dyDescent="0.25">
      <c r="B226" s="1" t="s">
        <v>16</v>
      </c>
      <c r="C226" s="1" t="s">
        <v>23</v>
      </c>
      <c r="D226" s="5">
        <v>44824</v>
      </c>
      <c r="E226" s="5">
        <v>32237</v>
      </c>
      <c r="F226" s="1">
        <v>16786</v>
      </c>
      <c r="G226" s="6">
        <f t="shared" si="15"/>
        <v>5035.8</v>
      </c>
      <c r="H226" s="6">
        <f t="shared" si="16"/>
        <v>3357.2000000000003</v>
      </c>
      <c r="I226" s="6">
        <f t="shared" si="17"/>
        <v>2014.32</v>
      </c>
      <c r="J226" s="6">
        <f t="shared" si="18"/>
        <v>27193.32</v>
      </c>
    </row>
    <row r="227" spans="2:10" x14ac:dyDescent="0.25">
      <c r="B227" s="1" t="s">
        <v>16</v>
      </c>
      <c r="C227" s="1" t="s">
        <v>32</v>
      </c>
      <c r="D227" s="5">
        <v>44837</v>
      </c>
      <c r="E227" s="5">
        <v>32370</v>
      </c>
      <c r="F227" s="1">
        <v>17925</v>
      </c>
      <c r="G227" s="6">
        <f t="shared" si="15"/>
        <v>5377.5</v>
      </c>
      <c r="H227" s="6">
        <f t="shared" si="16"/>
        <v>3585</v>
      </c>
      <c r="I227" s="6">
        <f t="shared" si="17"/>
        <v>2151</v>
      </c>
      <c r="J227" s="6">
        <f t="shared" si="18"/>
        <v>29038.5</v>
      </c>
    </row>
    <row r="228" spans="2:10" x14ac:dyDescent="0.25">
      <c r="B228" s="1" t="s">
        <v>16</v>
      </c>
      <c r="C228" s="1" t="s">
        <v>20</v>
      </c>
      <c r="D228" s="5">
        <v>44646</v>
      </c>
      <c r="E228" s="5">
        <v>32844</v>
      </c>
      <c r="F228" s="1">
        <v>16166</v>
      </c>
      <c r="G228" s="6">
        <f t="shared" si="15"/>
        <v>4849.8</v>
      </c>
      <c r="H228" s="6">
        <f t="shared" si="16"/>
        <v>3233.2000000000003</v>
      </c>
      <c r="I228" s="6">
        <f t="shared" si="17"/>
        <v>1939.9199999999998</v>
      </c>
      <c r="J228" s="6">
        <f t="shared" si="18"/>
        <v>26188.92</v>
      </c>
    </row>
    <row r="229" spans="2:10" x14ac:dyDescent="0.25">
      <c r="B229" s="1" t="s">
        <v>16</v>
      </c>
      <c r="C229" s="1" t="s">
        <v>33</v>
      </c>
      <c r="D229" s="5">
        <v>44366</v>
      </c>
      <c r="E229" s="5">
        <v>32662</v>
      </c>
      <c r="F229" s="1">
        <v>16642</v>
      </c>
      <c r="G229" s="6">
        <f t="shared" si="15"/>
        <v>4992.5999999999995</v>
      </c>
      <c r="H229" s="6">
        <f t="shared" si="16"/>
        <v>3328.4</v>
      </c>
      <c r="I229" s="6">
        <f t="shared" si="17"/>
        <v>1997.04</v>
      </c>
      <c r="J229" s="6">
        <f t="shared" si="18"/>
        <v>26960.04</v>
      </c>
    </row>
    <row r="230" spans="2:10" x14ac:dyDescent="0.25">
      <c r="B230" s="1" t="s">
        <v>16</v>
      </c>
      <c r="C230" s="1" t="s">
        <v>21</v>
      </c>
      <c r="D230" s="5">
        <v>43710</v>
      </c>
      <c r="E230" s="5">
        <v>33594</v>
      </c>
      <c r="F230" s="1">
        <v>16255</v>
      </c>
      <c r="G230" s="6">
        <f t="shared" si="15"/>
        <v>4876.5</v>
      </c>
      <c r="H230" s="6">
        <f t="shared" si="16"/>
        <v>3251</v>
      </c>
      <c r="I230" s="6">
        <f t="shared" si="17"/>
        <v>1950.6</v>
      </c>
      <c r="J230" s="6">
        <f t="shared" si="18"/>
        <v>26333.1</v>
      </c>
    </row>
    <row r="231" spans="2:10" x14ac:dyDescent="0.25">
      <c r="B231" s="1" t="s">
        <v>16</v>
      </c>
      <c r="C231" s="1" t="s">
        <v>37</v>
      </c>
      <c r="D231" s="5">
        <v>44167</v>
      </c>
      <c r="E231" s="5">
        <v>32622</v>
      </c>
      <c r="F231" s="1">
        <v>16018</v>
      </c>
      <c r="G231" s="6">
        <f t="shared" si="15"/>
        <v>4805.3999999999996</v>
      </c>
      <c r="H231" s="6">
        <f t="shared" si="16"/>
        <v>3203.6000000000004</v>
      </c>
      <c r="I231" s="6">
        <f t="shared" si="17"/>
        <v>1922.1599999999999</v>
      </c>
      <c r="J231" s="6">
        <f t="shared" si="18"/>
        <v>25949.16</v>
      </c>
    </row>
    <row r="232" spans="2:10" x14ac:dyDescent="0.25">
      <c r="B232" s="1" t="s">
        <v>16</v>
      </c>
      <c r="C232" s="1" t="s">
        <v>28</v>
      </c>
      <c r="D232" s="5">
        <v>43810</v>
      </c>
      <c r="E232" s="5">
        <v>34135</v>
      </c>
      <c r="F232" s="1">
        <v>15483</v>
      </c>
      <c r="G232" s="6">
        <f t="shared" si="15"/>
        <v>4644.8999999999996</v>
      </c>
      <c r="H232" s="6">
        <f t="shared" si="16"/>
        <v>3096.6000000000004</v>
      </c>
      <c r="I232" s="6">
        <f t="shared" si="17"/>
        <v>1857.96</v>
      </c>
      <c r="J232" s="6">
        <f t="shared" si="18"/>
        <v>25082.46</v>
      </c>
    </row>
    <row r="233" spans="2:10" x14ac:dyDescent="0.25">
      <c r="B233" s="1" t="s">
        <v>16</v>
      </c>
      <c r="C233" s="1" t="s">
        <v>30</v>
      </c>
      <c r="D233" s="5">
        <v>43320</v>
      </c>
      <c r="E233" s="5">
        <v>33729</v>
      </c>
      <c r="F233" s="1">
        <v>17749</v>
      </c>
      <c r="G233" s="6">
        <f t="shared" si="15"/>
        <v>5324.7</v>
      </c>
      <c r="H233" s="6">
        <f t="shared" si="16"/>
        <v>3549.8</v>
      </c>
      <c r="I233" s="6">
        <f t="shared" si="17"/>
        <v>2129.88</v>
      </c>
      <c r="J233" s="6">
        <f t="shared" si="18"/>
        <v>28753.38</v>
      </c>
    </row>
    <row r="234" spans="2:10" x14ac:dyDescent="0.25">
      <c r="B234" s="1" t="s">
        <v>16</v>
      </c>
      <c r="C234" s="1" t="s">
        <v>38</v>
      </c>
      <c r="D234" s="5">
        <v>44753</v>
      </c>
      <c r="E234" s="5">
        <v>32600</v>
      </c>
      <c r="F234" s="1">
        <v>15011</v>
      </c>
      <c r="G234" s="6">
        <f t="shared" si="15"/>
        <v>4503.3</v>
      </c>
      <c r="H234" s="6">
        <f t="shared" si="16"/>
        <v>3002.2000000000003</v>
      </c>
      <c r="I234" s="6">
        <f t="shared" si="17"/>
        <v>1801.32</v>
      </c>
      <c r="J234" s="6">
        <f t="shared" si="18"/>
        <v>24317.82</v>
      </c>
    </row>
    <row r="235" spans="2:10" x14ac:dyDescent="0.25">
      <c r="B235" s="1" t="s">
        <v>16</v>
      </c>
      <c r="C235" s="1" t="s">
        <v>20</v>
      </c>
      <c r="D235" s="5">
        <v>43600</v>
      </c>
      <c r="E235" s="5">
        <v>34895</v>
      </c>
      <c r="F235" s="1">
        <v>16832</v>
      </c>
      <c r="G235" s="6">
        <f t="shared" si="15"/>
        <v>5049.5999999999995</v>
      </c>
      <c r="H235" s="6">
        <f t="shared" si="16"/>
        <v>3366.4</v>
      </c>
      <c r="I235" s="6">
        <f t="shared" si="17"/>
        <v>2019.84</v>
      </c>
      <c r="J235" s="6">
        <f t="shared" si="18"/>
        <v>27267.84</v>
      </c>
    </row>
    <row r="236" spans="2:10" x14ac:dyDescent="0.25">
      <c r="B236" s="1" t="s">
        <v>16</v>
      </c>
      <c r="C236" s="1" t="s">
        <v>34</v>
      </c>
      <c r="D236" s="5">
        <v>44464</v>
      </c>
      <c r="E236" s="5">
        <v>32507</v>
      </c>
      <c r="F236" s="1">
        <v>16845</v>
      </c>
      <c r="G236" s="6">
        <f t="shared" si="15"/>
        <v>5053.5</v>
      </c>
      <c r="H236" s="6">
        <f t="shared" si="16"/>
        <v>3369</v>
      </c>
      <c r="I236" s="6">
        <f t="shared" si="17"/>
        <v>2021.3999999999999</v>
      </c>
      <c r="J236" s="6">
        <f t="shared" si="18"/>
        <v>27288.9</v>
      </c>
    </row>
    <row r="237" spans="2:10" x14ac:dyDescent="0.25">
      <c r="B237" s="1" t="s">
        <v>16</v>
      </c>
      <c r="C237" s="1" t="s">
        <v>37</v>
      </c>
      <c r="D237" s="5">
        <v>43190</v>
      </c>
      <c r="E237" s="5">
        <v>33626</v>
      </c>
      <c r="F237" s="1">
        <v>17798</v>
      </c>
      <c r="G237" s="6">
        <f t="shared" si="15"/>
        <v>5339.4</v>
      </c>
      <c r="H237" s="6">
        <f t="shared" si="16"/>
        <v>3559.6000000000004</v>
      </c>
      <c r="I237" s="6">
        <f t="shared" si="17"/>
        <v>2135.7599999999998</v>
      </c>
      <c r="J237" s="6">
        <f t="shared" si="18"/>
        <v>28832.76</v>
      </c>
    </row>
    <row r="238" spans="2:10" x14ac:dyDescent="0.25">
      <c r="B238" s="1" t="s">
        <v>16</v>
      </c>
      <c r="C238" s="1" t="s">
        <v>23</v>
      </c>
      <c r="D238" s="5">
        <v>44157</v>
      </c>
      <c r="E238" s="5">
        <v>32339</v>
      </c>
      <c r="F238" s="1">
        <v>17512</v>
      </c>
      <c r="G238" s="6">
        <f t="shared" si="15"/>
        <v>5253.5999999999995</v>
      </c>
      <c r="H238" s="6">
        <f t="shared" si="16"/>
        <v>3502.4</v>
      </c>
      <c r="I238" s="6">
        <f t="shared" si="17"/>
        <v>2101.44</v>
      </c>
      <c r="J238" s="6">
        <f t="shared" si="18"/>
        <v>28369.439999999999</v>
      </c>
    </row>
    <row r="239" spans="2:10" x14ac:dyDescent="0.25">
      <c r="B239" s="1" t="s">
        <v>16</v>
      </c>
      <c r="C239" s="1" t="s">
        <v>38</v>
      </c>
      <c r="D239" s="5">
        <v>43969</v>
      </c>
      <c r="E239" s="5">
        <v>32481</v>
      </c>
      <c r="F239" s="1">
        <v>17613</v>
      </c>
      <c r="G239" s="6">
        <f t="shared" si="15"/>
        <v>5283.9</v>
      </c>
      <c r="H239" s="6">
        <f t="shared" si="16"/>
        <v>3522.6000000000004</v>
      </c>
      <c r="I239" s="6">
        <f t="shared" si="17"/>
        <v>2113.56</v>
      </c>
      <c r="J239" s="6">
        <f t="shared" si="18"/>
        <v>28533.06</v>
      </c>
    </row>
    <row r="240" spans="2:10" x14ac:dyDescent="0.25">
      <c r="B240" s="1" t="s">
        <v>16</v>
      </c>
      <c r="C240" s="1" t="s">
        <v>35</v>
      </c>
      <c r="D240" s="5">
        <v>44429</v>
      </c>
      <c r="E240" s="5">
        <v>32144</v>
      </c>
      <c r="F240" s="1">
        <v>16753</v>
      </c>
      <c r="G240" s="6">
        <f t="shared" si="15"/>
        <v>5025.8999999999996</v>
      </c>
      <c r="H240" s="6">
        <f t="shared" si="16"/>
        <v>3350.6000000000004</v>
      </c>
      <c r="I240" s="6">
        <f t="shared" si="17"/>
        <v>2010.36</v>
      </c>
      <c r="J240" s="6">
        <f t="shared" si="18"/>
        <v>27139.86</v>
      </c>
    </row>
    <row r="241" spans="2:10" x14ac:dyDescent="0.25">
      <c r="B241" s="1" t="s">
        <v>16</v>
      </c>
      <c r="C241" s="1" t="s">
        <v>20</v>
      </c>
      <c r="D241" s="5">
        <v>43859</v>
      </c>
      <c r="E241" s="5">
        <v>32938</v>
      </c>
      <c r="F241" s="1">
        <v>15045</v>
      </c>
      <c r="G241" s="6">
        <f t="shared" si="15"/>
        <v>4513.5</v>
      </c>
      <c r="H241" s="6">
        <f t="shared" si="16"/>
        <v>3009</v>
      </c>
      <c r="I241" s="6">
        <f t="shared" si="17"/>
        <v>1805.3999999999999</v>
      </c>
      <c r="J241" s="6">
        <f t="shared" si="18"/>
        <v>24372.9</v>
      </c>
    </row>
    <row r="242" spans="2:10" x14ac:dyDescent="0.25">
      <c r="B242" s="1" t="s">
        <v>16</v>
      </c>
      <c r="C242" s="1" t="s">
        <v>30</v>
      </c>
      <c r="D242" s="5">
        <v>44018</v>
      </c>
      <c r="E242" s="5">
        <v>34083</v>
      </c>
      <c r="F242" s="1">
        <v>15176</v>
      </c>
      <c r="G242" s="6">
        <f t="shared" si="15"/>
        <v>4552.8</v>
      </c>
      <c r="H242" s="6">
        <f t="shared" si="16"/>
        <v>3035.2000000000003</v>
      </c>
      <c r="I242" s="6">
        <f t="shared" si="17"/>
        <v>1821.12</v>
      </c>
      <c r="J242" s="6">
        <f t="shared" si="18"/>
        <v>24585.119999999999</v>
      </c>
    </row>
    <row r="243" spans="2:10" x14ac:dyDescent="0.25">
      <c r="B243" s="1" t="s">
        <v>16</v>
      </c>
      <c r="C243" s="1" t="s">
        <v>23</v>
      </c>
      <c r="D243" s="5">
        <v>44783</v>
      </c>
      <c r="E243" s="5">
        <v>33502</v>
      </c>
      <c r="F243" s="1">
        <v>15261</v>
      </c>
      <c r="G243" s="6">
        <f t="shared" si="15"/>
        <v>4578.3</v>
      </c>
      <c r="H243" s="6">
        <f t="shared" si="16"/>
        <v>3052.2000000000003</v>
      </c>
      <c r="I243" s="6">
        <f t="shared" si="17"/>
        <v>1831.32</v>
      </c>
      <c r="J243" s="6">
        <f t="shared" si="18"/>
        <v>24722.82</v>
      </c>
    </row>
    <row r="244" spans="2:10" x14ac:dyDescent="0.25">
      <c r="B244" s="1" t="s">
        <v>16</v>
      </c>
      <c r="C244" s="1" t="s">
        <v>23</v>
      </c>
      <c r="D244" s="5">
        <v>44858</v>
      </c>
      <c r="E244" s="5">
        <v>32666</v>
      </c>
      <c r="F244" s="1">
        <v>15462</v>
      </c>
      <c r="G244" s="6">
        <f t="shared" si="15"/>
        <v>4638.5999999999995</v>
      </c>
      <c r="H244" s="6">
        <f t="shared" si="16"/>
        <v>3092.4</v>
      </c>
      <c r="I244" s="6">
        <f t="shared" si="17"/>
        <v>1855.4399999999998</v>
      </c>
      <c r="J244" s="6">
        <f t="shared" si="18"/>
        <v>25048.44</v>
      </c>
    </row>
    <row r="245" spans="2:10" x14ac:dyDescent="0.25">
      <c r="B245" s="1" t="s">
        <v>16</v>
      </c>
      <c r="C245" s="1" t="s">
        <v>25</v>
      </c>
      <c r="D245" s="5">
        <v>43778</v>
      </c>
      <c r="E245" s="5">
        <v>33471</v>
      </c>
      <c r="F245" s="1">
        <v>15524</v>
      </c>
      <c r="G245" s="6">
        <f t="shared" si="15"/>
        <v>4657.2</v>
      </c>
      <c r="H245" s="6">
        <f t="shared" si="16"/>
        <v>3104.8</v>
      </c>
      <c r="I245" s="6">
        <f t="shared" si="17"/>
        <v>1862.8799999999999</v>
      </c>
      <c r="J245" s="6">
        <f t="shared" si="18"/>
        <v>25148.880000000001</v>
      </c>
    </row>
    <row r="246" spans="2:10" x14ac:dyDescent="0.25">
      <c r="B246" s="1" t="s">
        <v>16</v>
      </c>
      <c r="C246" s="1" t="s">
        <v>27</v>
      </c>
      <c r="D246" s="5">
        <v>43370</v>
      </c>
      <c r="E246" s="5">
        <v>35007</v>
      </c>
      <c r="F246" s="1">
        <v>15353</v>
      </c>
      <c r="G246" s="6">
        <f t="shared" si="15"/>
        <v>4605.8999999999996</v>
      </c>
      <c r="H246" s="6">
        <f t="shared" si="16"/>
        <v>3070.6000000000004</v>
      </c>
      <c r="I246" s="6">
        <f t="shared" si="17"/>
        <v>1842.36</v>
      </c>
      <c r="J246" s="6">
        <f t="shared" si="18"/>
        <v>24871.86</v>
      </c>
    </row>
    <row r="247" spans="2:10" x14ac:dyDescent="0.25">
      <c r="B247" s="1" t="s">
        <v>16</v>
      </c>
      <c r="C247" s="1" t="s">
        <v>0</v>
      </c>
      <c r="D247" s="5">
        <v>43739</v>
      </c>
      <c r="E247" s="5">
        <v>34467</v>
      </c>
      <c r="F247" s="1">
        <v>17653</v>
      </c>
      <c r="G247" s="6">
        <f t="shared" si="15"/>
        <v>5295.9</v>
      </c>
      <c r="H247" s="6">
        <f t="shared" si="16"/>
        <v>3530.6000000000004</v>
      </c>
      <c r="I247" s="6">
        <f t="shared" si="17"/>
        <v>2118.36</v>
      </c>
      <c r="J247" s="6">
        <f t="shared" si="18"/>
        <v>28597.86</v>
      </c>
    </row>
    <row r="248" spans="2:10" x14ac:dyDescent="0.25">
      <c r="B248" s="1" t="s">
        <v>16</v>
      </c>
      <c r="C248" s="1" t="s">
        <v>26</v>
      </c>
      <c r="D248" s="5">
        <v>43190</v>
      </c>
      <c r="E248" s="5">
        <v>33633</v>
      </c>
      <c r="F248" s="1">
        <v>17561</v>
      </c>
      <c r="G248" s="6">
        <f t="shared" si="15"/>
        <v>5268.3</v>
      </c>
      <c r="H248" s="6">
        <f t="shared" si="16"/>
        <v>3512.2000000000003</v>
      </c>
      <c r="I248" s="6">
        <f t="shared" si="17"/>
        <v>2107.3199999999997</v>
      </c>
      <c r="J248" s="6">
        <f t="shared" si="18"/>
        <v>28448.82</v>
      </c>
    </row>
    <row r="249" spans="2:10" x14ac:dyDescent="0.25">
      <c r="B249" s="1" t="s">
        <v>16</v>
      </c>
      <c r="C249" s="1" t="s">
        <v>34</v>
      </c>
      <c r="D249" s="5">
        <v>43325</v>
      </c>
      <c r="E249" s="5">
        <v>33969</v>
      </c>
      <c r="F249" s="1">
        <v>15807</v>
      </c>
      <c r="G249" s="6">
        <f t="shared" si="15"/>
        <v>4742.0999999999995</v>
      </c>
      <c r="H249" s="6">
        <f t="shared" si="16"/>
        <v>3161.4</v>
      </c>
      <c r="I249" s="6">
        <f t="shared" si="17"/>
        <v>1896.84</v>
      </c>
      <c r="J249" s="6">
        <f t="shared" si="18"/>
        <v>25607.34</v>
      </c>
    </row>
    <row r="250" spans="2:10" x14ac:dyDescent="0.25">
      <c r="B250" s="1" t="s">
        <v>16</v>
      </c>
      <c r="C250" s="1" t="s">
        <v>30</v>
      </c>
      <c r="D250" s="5">
        <v>43443</v>
      </c>
      <c r="E250" s="5">
        <v>32319</v>
      </c>
      <c r="F250" s="1">
        <v>16189</v>
      </c>
      <c r="G250" s="6">
        <f t="shared" si="15"/>
        <v>4856.7</v>
      </c>
      <c r="H250" s="6">
        <f t="shared" si="16"/>
        <v>3237.8</v>
      </c>
      <c r="I250" s="6">
        <f t="shared" si="17"/>
        <v>1942.6799999999998</v>
      </c>
      <c r="J250" s="6">
        <f t="shared" si="18"/>
        <v>26226.18</v>
      </c>
    </row>
    <row r="251" spans="2:10" x14ac:dyDescent="0.25">
      <c r="B251" s="1" t="s">
        <v>16</v>
      </c>
      <c r="C251" s="1" t="s">
        <v>35</v>
      </c>
      <c r="D251" s="5">
        <v>44219</v>
      </c>
      <c r="E251" s="5">
        <v>34417</v>
      </c>
      <c r="F251" s="1">
        <v>17932</v>
      </c>
      <c r="G251" s="6">
        <f t="shared" si="15"/>
        <v>5379.5999999999995</v>
      </c>
      <c r="H251" s="6">
        <f t="shared" si="16"/>
        <v>3586.4</v>
      </c>
      <c r="I251" s="6">
        <f t="shared" si="17"/>
        <v>2151.84</v>
      </c>
      <c r="J251" s="6">
        <f t="shared" si="18"/>
        <v>29049.84</v>
      </c>
    </row>
    <row r="252" spans="2:10" x14ac:dyDescent="0.25">
      <c r="B252" s="1" t="s">
        <v>16</v>
      </c>
      <c r="C252" s="1" t="s">
        <v>33</v>
      </c>
      <c r="D252" s="5">
        <v>44020</v>
      </c>
      <c r="E252" s="5">
        <v>33452</v>
      </c>
      <c r="F252" s="1">
        <v>17719</v>
      </c>
      <c r="G252" s="6">
        <f t="shared" si="15"/>
        <v>5315.7</v>
      </c>
      <c r="H252" s="6">
        <f t="shared" si="16"/>
        <v>3543.8</v>
      </c>
      <c r="I252" s="6">
        <f t="shared" si="17"/>
        <v>2126.2799999999997</v>
      </c>
      <c r="J252" s="6">
        <f t="shared" si="18"/>
        <v>28704.78</v>
      </c>
    </row>
    <row r="253" spans="2:10" x14ac:dyDescent="0.25">
      <c r="B253" s="1" t="s">
        <v>16</v>
      </c>
      <c r="C253" s="1" t="s">
        <v>31</v>
      </c>
      <c r="D253" s="5">
        <v>43527</v>
      </c>
      <c r="E253" s="5">
        <v>34009</v>
      </c>
      <c r="F253" s="1">
        <v>17844</v>
      </c>
      <c r="G253" s="6">
        <f t="shared" si="15"/>
        <v>5353.2</v>
      </c>
      <c r="H253" s="6">
        <f t="shared" si="16"/>
        <v>3568.8</v>
      </c>
      <c r="I253" s="6">
        <f t="shared" si="17"/>
        <v>2141.2799999999997</v>
      </c>
      <c r="J253" s="6">
        <f t="shared" si="18"/>
        <v>28907.279999999999</v>
      </c>
    </row>
    <row r="254" spans="2:10" x14ac:dyDescent="0.25">
      <c r="B254" s="1" t="s">
        <v>16</v>
      </c>
      <c r="C254" s="1" t="s">
        <v>36</v>
      </c>
      <c r="D254" s="5">
        <v>44438</v>
      </c>
      <c r="E254" s="5">
        <v>33479</v>
      </c>
      <c r="F254" s="1">
        <v>16167</v>
      </c>
      <c r="G254" s="6">
        <f t="shared" si="15"/>
        <v>4850.0999999999995</v>
      </c>
      <c r="H254" s="6">
        <f t="shared" si="16"/>
        <v>3233.4</v>
      </c>
      <c r="I254" s="6">
        <f t="shared" si="17"/>
        <v>1940.04</v>
      </c>
      <c r="J254" s="6">
        <f t="shared" si="18"/>
        <v>26190.54</v>
      </c>
    </row>
    <row r="255" spans="2:10" x14ac:dyDescent="0.25">
      <c r="B255" s="1" t="s">
        <v>16</v>
      </c>
      <c r="C255" s="1" t="s">
        <v>22</v>
      </c>
      <c r="D255" s="5">
        <v>43943</v>
      </c>
      <c r="E255" s="5">
        <v>33500</v>
      </c>
      <c r="F255" s="1">
        <v>17266</v>
      </c>
      <c r="G255" s="6">
        <f t="shared" si="15"/>
        <v>5179.8</v>
      </c>
      <c r="H255" s="6">
        <f t="shared" si="16"/>
        <v>3453.2000000000003</v>
      </c>
      <c r="I255" s="6">
        <f t="shared" si="17"/>
        <v>2071.92</v>
      </c>
      <c r="J255" s="6">
        <f t="shared" si="18"/>
        <v>27970.92</v>
      </c>
    </row>
    <row r="256" spans="2:10" x14ac:dyDescent="0.25">
      <c r="B256" s="1" t="s">
        <v>16</v>
      </c>
      <c r="C256" s="1" t="s">
        <v>29</v>
      </c>
      <c r="D256" s="5">
        <v>44100</v>
      </c>
      <c r="E256" s="5">
        <v>34536</v>
      </c>
      <c r="F256" s="1">
        <v>16166</v>
      </c>
      <c r="G256" s="6">
        <f t="shared" si="15"/>
        <v>4849.8</v>
      </c>
      <c r="H256" s="6">
        <f t="shared" si="16"/>
        <v>3233.2000000000003</v>
      </c>
      <c r="I256" s="6">
        <f t="shared" si="17"/>
        <v>1939.9199999999998</v>
      </c>
      <c r="J256" s="6">
        <f t="shared" si="18"/>
        <v>26188.92</v>
      </c>
    </row>
    <row r="257" spans="2:10" x14ac:dyDescent="0.25">
      <c r="B257" s="1" t="s">
        <v>16</v>
      </c>
      <c r="C257" s="1" t="s">
        <v>29</v>
      </c>
      <c r="D257" s="5">
        <v>43117</v>
      </c>
      <c r="E257" s="5">
        <v>34626</v>
      </c>
      <c r="F257" s="1">
        <v>15012</v>
      </c>
      <c r="G257" s="6">
        <f t="shared" si="15"/>
        <v>4503.5999999999995</v>
      </c>
      <c r="H257" s="6">
        <f t="shared" si="16"/>
        <v>3002.4</v>
      </c>
      <c r="I257" s="6">
        <f t="shared" si="17"/>
        <v>1801.4399999999998</v>
      </c>
      <c r="J257" s="6">
        <f t="shared" si="18"/>
        <v>24319.439999999999</v>
      </c>
    </row>
    <row r="258" spans="2:10" x14ac:dyDescent="0.25">
      <c r="B258" s="1" t="s">
        <v>16</v>
      </c>
      <c r="C258" s="1" t="s">
        <v>30</v>
      </c>
      <c r="D258" s="5">
        <v>44216</v>
      </c>
      <c r="E258" s="5">
        <v>33185</v>
      </c>
      <c r="F258" s="1">
        <v>17999</v>
      </c>
      <c r="G258" s="6">
        <f t="shared" si="15"/>
        <v>5399.7</v>
      </c>
      <c r="H258" s="6">
        <f t="shared" si="16"/>
        <v>3599.8</v>
      </c>
      <c r="I258" s="6">
        <f t="shared" si="17"/>
        <v>2159.88</v>
      </c>
      <c r="J258" s="6">
        <f t="shared" si="18"/>
        <v>29158.38</v>
      </c>
    </row>
    <row r="259" spans="2:10" x14ac:dyDescent="0.25">
      <c r="B259" s="1" t="s">
        <v>16</v>
      </c>
      <c r="C259" s="1" t="s">
        <v>30</v>
      </c>
      <c r="D259" s="5">
        <v>43228</v>
      </c>
      <c r="E259" s="5">
        <v>32175</v>
      </c>
      <c r="F259" s="1">
        <v>15046</v>
      </c>
      <c r="G259" s="6">
        <f t="shared" si="15"/>
        <v>4513.8</v>
      </c>
      <c r="H259" s="6">
        <f t="shared" si="16"/>
        <v>3009.2000000000003</v>
      </c>
      <c r="I259" s="6">
        <f t="shared" si="17"/>
        <v>1805.52</v>
      </c>
      <c r="J259" s="6">
        <f t="shared" si="18"/>
        <v>24374.52</v>
      </c>
    </row>
    <row r="260" spans="2:10" x14ac:dyDescent="0.25">
      <c r="B260" s="1" t="s">
        <v>16</v>
      </c>
      <c r="C260" s="1" t="s">
        <v>29</v>
      </c>
      <c r="D260" s="5">
        <v>44461</v>
      </c>
      <c r="E260" s="5">
        <v>32584</v>
      </c>
      <c r="F260" s="1">
        <v>16048</v>
      </c>
      <c r="G260" s="6">
        <f t="shared" si="15"/>
        <v>4814.3999999999996</v>
      </c>
      <c r="H260" s="6">
        <f t="shared" si="16"/>
        <v>3209.6000000000004</v>
      </c>
      <c r="I260" s="6">
        <f t="shared" si="17"/>
        <v>1925.76</v>
      </c>
      <c r="J260" s="6">
        <f t="shared" si="18"/>
        <v>25997.759999999998</v>
      </c>
    </row>
    <row r="261" spans="2:10" x14ac:dyDescent="0.25">
      <c r="B261" s="1" t="s">
        <v>16</v>
      </c>
      <c r="C261" s="1" t="s">
        <v>26</v>
      </c>
      <c r="D261" s="5">
        <v>43963</v>
      </c>
      <c r="E261" s="5">
        <v>34751</v>
      </c>
      <c r="F261" s="1">
        <v>17941</v>
      </c>
      <c r="G261" s="6">
        <f t="shared" si="15"/>
        <v>5382.3</v>
      </c>
      <c r="H261" s="6">
        <f t="shared" si="16"/>
        <v>3588.2000000000003</v>
      </c>
      <c r="I261" s="6">
        <f t="shared" si="17"/>
        <v>2152.92</v>
      </c>
      <c r="J261" s="6">
        <f t="shared" si="18"/>
        <v>29064.42</v>
      </c>
    </row>
    <row r="262" spans="2:10" x14ac:dyDescent="0.25">
      <c r="B262" s="1" t="s">
        <v>16</v>
      </c>
      <c r="C262" s="1" t="s">
        <v>36</v>
      </c>
      <c r="D262" s="5">
        <v>43603</v>
      </c>
      <c r="E262" s="5">
        <v>33535</v>
      </c>
      <c r="F262" s="1">
        <v>16857</v>
      </c>
      <c r="G262" s="6">
        <f t="shared" si="15"/>
        <v>5057.0999999999995</v>
      </c>
      <c r="H262" s="6">
        <f t="shared" si="16"/>
        <v>3371.4</v>
      </c>
      <c r="I262" s="6">
        <f t="shared" si="17"/>
        <v>2022.84</v>
      </c>
      <c r="J262" s="6">
        <f t="shared" si="18"/>
        <v>27308.34</v>
      </c>
    </row>
    <row r="263" spans="2:10" x14ac:dyDescent="0.25">
      <c r="B263" s="1" t="s">
        <v>16</v>
      </c>
      <c r="C263" s="1" t="s">
        <v>25</v>
      </c>
      <c r="D263" s="5">
        <v>43498</v>
      </c>
      <c r="E263" s="5">
        <v>32310</v>
      </c>
      <c r="F263" s="1">
        <v>16241</v>
      </c>
      <c r="G263" s="6">
        <f t="shared" ref="G263:G326" si="19">F263*0.3</f>
        <v>4872.3</v>
      </c>
      <c r="H263" s="6">
        <f t="shared" si="16"/>
        <v>3248.2000000000003</v>
      </c>
      <c r="I263" s="6">
        <f t="shared" si="17"/>
        <v>1948.9199999999998</v>
      </c>
      <c r="J263" s="6">
        <f t="shared" si="18"/>
        <v>26310.42</v>
      </c>
    </row>
    <row r="264" spans="2:10" x14ac:dyDescent="0.25">
      <c r="B264" s="1" t="s">
        <v>16</v>
      </c>
      <c r="C264" s="1" t="s">
        <v>20</v>
      </c>
      <c r="D264" s="5">
        <v>44410</v>
      </c>
      <c r="E264" s="5">
        <v>34301</v>
      </c>
      <c r="F264" s="1">
        <v>16259</v>
      </c>
      <c r="G264" s="6">
        <f t="shared" si="19"/>
        <v>4877.7</v>
      </c>
      <c r="H264" s="6">
        <f t="shared" si="16"/>
        <v>3251.8</v>
      </c>
      <c r="I264" s="6">
        <f t="shared" si="17"/>
        <v>1951.08</v>
      </c>
      <c r="J264" s="6">
        <f t="shared" si="18"/>
        <v>26339.58</v>
      </c>
    </row>
    <row r="265" spans="2:10" x14ac:dyDescent="0.25">
      <c r="B265" s="1" t="s">
        <v>16</v>
      </c>
      <c r="C265" s="1" t="s">
        <v>0</v>
      </c>
      <c r="D265" s="5">
        <v>43926</v>
      </c>
      <c r="E265" s="5">
        <v>32396</v>
      </c>
      <c r="F265" s="1">
        <v>17953</v>
      </c>
      <c r="G265" s="6">
        <f t="shared" si="19"/>
        <v>5385.9</v>
      </c>
      <c r="H265" s="6">
        <f t="shared" si="16"/>
        <v>3590.6000000000004</v>
      </c>
      <c r="I265" s="6">
        <f t="shared" si="17"/>
        <v>2154.36</v>
      </c>
      <c r="J265" s="6">
        <f t="shared" si="18"/>
        <v>29083.86</v>
      </c>
    </row>
    <row r="266" spans="2:10" x14ac:dyDescent="0.25">
      <c r="B266" s="1" t="s">
        <v>16</v>
      </c>
      <c r="C266" s="1" t="s">
        <v>0</v>
      </c>
      <c r="D266" s="5">
        <v>43611</v>
      </c>
      <c r="E266" s="5">
        <v>32463</v>
      </c>
      <c r="F266" s="1">
        <v>18000</v>
      </c>
      <c r="G266" s="6">
        <f t="shared" si="19"/>
        <v>5400</v>
      </c>
      <c r="H266" s="6">
        <f t="shared" si="16"/>
        <v>3600</v>
      </c>
      <c r="I266" s="6">
        <f t="shared" si="17"/>
        <v>2160</v>
      </c>
      <c r="J266" s="6">
        <f t="shared" si="18"/>
        <v>29160</v>
      </c>
    </row>
    <row r="267" spans="2:10" x14ac:dyDescent="0.25">
      <c r="B267" s="1" t="s">
        <v>16</v>
      </c>
      <c r="C267" s="1" t="s">
        <v>37</v>
      </c>
      <c r="D267" s="5">
        <v>43655</v>
      </c>
      <c r="E267" s="5">
        <v>33241</v>
      </c>
      <c r="F267" s="1">
        <v>15050</v>
      </c>
      <c r="G267" s="6">
        <f t="shared" si="19"/>
        <v>4515</v>
      </c>
      <c r="H267" s="6">
        <f t="shared" si="16"/>
        <v>3010</v>
      </c>
      <c r="I267" s="6">
        <f t="shared" si="17"/>
        <v>1806</v>
      </c>
      <c r="J267" s="6">
        <f t="shared" si="18"/>
        <v>24381</v>
      </c>
    </row>
    <row r="268" spans="2:10" x14ac:dyDescent="0.25">
      <c r="B268" s="1" t="s">
        <v>16</v>
      </c>
      <c r="C268" s="1" t="s">
        <v>34</v>
      </c>
      <c r="D268" s="5">
        <v>43583</v>
      </c>
      <c r="E268" s="5">
        <v>34269</v>
      </c>
      <c r="F268" s="1">
        <v>15592</v>
      </c>
      <c r="G268" s="6">
        <f t="shared" si="19"/>
        <v>4677.5999999999995</v>
      </c>
      <c r="H268" s="6">
        <f t="shared" si="16"/>
        <v>3118.4</v>
      </c>
      <c r="I268" s="6">
        <f t="shared" si="17"/>
        <v>1871.04</v>
      </c>
      <c r="J268" s="6">
        <f t="shared" si="18"/>
        <v>25259.040000000001</v>
      </c>
    </row>
    <row r="269" spans="2:10" x14ac:dyDescent="0.25">
      <c r="B269" s="1" t="s">
        <v>16</v>
      </c>
      <c r="C269" s="1" t="s">
        <v>27</v>
      </c>
      <c r="D269" s="5">
        <v>44666</v>
      </c>
      <c r="E269" s="5">
        <v>34062</v>
      </c>
      <c r="F269" s="1">
        <v>16920</v>
      </c>
      <c r="G269" s="6">
        <f t="shared" si="19"/>
        <v>5076</v>
      </c>
      <c r="H269" s="6">
        <f t="shared" ref="H269:H332" si="20">F269*20%</f>
        <v>3384</v>
      </c>
      <c r="I269" s="6">
        <f t="shared" ref="I269:I332" si="21">F269*12%</f>
        <v>2030.3999999999999</v>
      </c>
      <c r="J269" s="6">
        <f t="shared" ref="J269:J332" si="22">SUM(F269:I269)</f>
        <v>27410.400000000001</v>
      </c>
    </row>
    <row r="270" spans="2:10" x14ac:dyDescent="0.25">
      <c r="B270" s="1" t="s">
        <v>16</v>
      </c>
      <c r="C270" s="1" t="s">
        <v>38</v>
      </c>
      <c r="D270" s="5">
        <v>44878</v>
      </c>
      <c r="E270" s="5">
        <v>33255</v>
      </c>
      <c r="F270" s="1">
        <v>16568</v>
      </c>
      <c r="G270" s="6">
        <f t="shared" si="19"/>
        <v>4970.3999999999996</v>
      </c>
      <c r="H270" s="6">
        <f t="shared" si="20"/>
        <v>3313.6000000000004</v>
      </c>
      <c r="I270" s="6">
        <f t="shared" si="21"/>
        <v>1988.1599999999999</v>
      </c>
      <c r="J270" s="6">
        <f t="shared" si="22"/>
        <v>26840.16</v>
      </c>
    </row>
    <row r="271" spans="2:10" x14ac:dyDescent="0.25">
      <c r="B271" s="1" t="s">
        <v>16</v>
      </c>
      <c r="C271" s="1" t="s">
        <v>28</v>
      </c>
      <c r="D271" s="5">
        <v>44431</v>
      </c>
      <c r="E271" s="5">
        <v>33761</v>
      </c>
      <c r="F271" s="1">
        <v>16804</v>
      </c>
      <c r="G271" s="6">
        <f t="shared" si="19"/>
        <v>5041.2</v>
      </c>
      <c r="H271" s="6">
        <f t="shared" si="20"/>
        <v>3360.8</v>
      </c>
      <c r="I271" s="6">
        <f t="shared" si="21"/>
        <v>2016.48</v>
      </c>
      <c r="J271" s="6">
        <f t="shared" si="22"/>
        <v>27222.48</v>
      </c>
    </row>
    <row r="272" spans="2:10" x14ac:dyDescent="0.25">
      <c r="B272" s="1" t="s">
        <v>16</v>
      </c>
      <c r="C272" s="1" t="s">
        <v>31</v>
      </c>
      <c r="D272" s="5">
        <v>44573</v>
      </c>
      <c r="E272" s="5">
        <v>34605</v>
      </c>
      <c r="F272" s="1">
        <v>15090</v>
      </c>
      <c r="G272" s="6">
        <f t="shared" si="19"/>
        <v>4527</v>
      </c>
      <c r="H272" s="6">
        <f t="shared" si="20"/>
        <v>3018</v>
      </c>
      <c r="I272" s="6">
        <f t="shared" si="21"/>
        <v>1810.8</v>
      </c>
      <c r="J272" s="6">
        <f t="shared" si="22"/>
        <v>24445.8</v>
      </c>
    </row>
    <row r="273" spans="2:10" x14ac:dyDescent="0.25">
      <c r="B273" s="1" t="s">
        <v>16</v>
      </c>
      <c r="C273" s="1" t="s">
        <v>21</v>
      </c>
      <c r="D273" s="5">
        <v>44876</v>
      </c>
      <c r="E273" s="5">
        <v>33446</v>
      </c>
      <c r="F273" s="1">
        <v>17067</v>
      </c>
      <c r="G273" s="6">
        <f t="shared" si="19"/>
        <v>5120.0999999999995</v>
      </c>
      <c r="H273" s="6">
        <f t="shared" si="20"/>
        <v>3413.4</v>
      </c>
      <c r="I273" s="6">
        <f t="shared" si="21"/>
        <v>2048.04</v>
      </c>
      <c r="J273" s="6">
        <f t="shared" si="22"/>
        <v>27648.54</v>
      </c>
    </row>
    <row r="274" spans="2:10" x14ac:dyDescent="0.25">
      <c r="B274" s="1" t="s">
        <v>16</v>
      </c>
      <c r="C274" s="1" t="s">
        <v>32</v>
      </c>
      <c r="D274" s="5">
        <v>43556</v>
      </c>
      <c r="E274" s="5">
        <v>32246</v>
      </c>
      <c r="F274" s="1">
        <v>15414</v>
      </c>
      <c r="G274" s="6">
        <f t="shared" si="19"/>
        <v>4624.2</v>
      </c>
      <c r="H274" s="6">
        <f t="shared" si="20"/>
        <v>3082.8</v>
      </c>
      <c r="I274" s="6">
        <f t="shared" si="21"/>
        <v>1849.6799999999998</v>
      </c>
      <c r="J274" s="6">
        <f t="shared" si="22"/>
        <v>24970.68</v>
      </c>
    </row>
    <row r="275" spans="2:10" x14ac:dyDescent="0.25">
      <c r="B275" s="1" t="s">
        <v>16</v>
      </c>
      <c r="C275" s="1" t="s">
        <v>25</v>
      </c>
      <c r="D275" s="5">
        <v>43260</v>
      </c>
      <c r="E275" s="5">
        <v>32826</v>
      </c>
      <c r="F275" s="1">
        <v>16830</v>
      </c>
      <c r="G275" s="6">
        <f t="shared" si="19"/>
        <v>5049</v>
      </c>
      <c r="H275" s="6">
        <f t="shared" si="20"/>
        <v>3366</v>
      </c>
      <c r="I275" s="6">
        <f t="shared" si="21"/>
        <v>2019.6</v>
      </c>
      <c r="J275" s="6">
        <f t="shared" si="22"/>
        <v>27264.6</v>
      </c>
    </row>
    <row r="276" spans="2:10" x14ac:dyDescent="0.25">
      <c r="B276" s="1" t="s">
        <v>16</v>
      </c>
      <c r="C276" s="1" t="s">
        <v>29</v>
      </c>
      <c r="D276" s="5">
        <v>43922</v>
      </c>
      <c r="E276" s="5">
        <v>33951</v>
      </c>
      <c r="F276" s="1">
        <v>15505</v>
      </c>
      <c r="G276" s="6">
        <f t="shared" si="19"/>
        <v>4651.5</v>
      </c>
      <c r="H276" s="6">
        <f t="shared" si="20"/>
        <v>3101</v>
      </c>
      <c r="I276" s="6">
        <f t="shared" si="21"/>
        <v>1860.6</v>
      </c>
      <c r="J276" s="6">
        <f t="shared" si="22"/>
        <v>25118.1</v>
      </c>
    </row>
    <row r="277" spans="2:10" x14ac:dyDescent="0.25">
      <c r="B277" s="1" t="s">
        <v>16</v>
      </c>
      <c r="C277" s="1" t="s">
        <v>21</v>
      </c>
      <c r="D277" s="5">
        <v>43220</v>
      </c>
      <c r="E277" s="5">
        <v>34340</v>
      </c>
      <c r="F277" s="1">
        <v>15296</v>
      </c>
      <c r="G277" s="6">
        <f t="shared" si="19"/>
        <v>4588.8</v>
      </c>
      <c r="H277" s="6">
        <f t="shared" si="20"/>
        <v>3059.2000000000003</v>
      </c>
      <c r="I277" s="6">
        <f t="shared" si="21"/>
        <v>1835.52</v>
      </c>
      <c r="J277" s="6">
        <f t="shared" si="22"/>
        <v>24779.52</v>
      </c>
    </row>
    <row r="278" spans="2:10" x14ac:dyDescent="0.25">
      <c r="B278" s="1" t="s">
        <v>16</v>
      </c>
      <c r="C278" s="1" t="s">
        <v>28</v>
      </c>
      <c r="D278" s="5">
        <v>44837</v>
      </c>
      <c r="E278" s="5">
        <v>34164</v>
      </c>
      <c r="F278" s="1">
        <v>15098</v>
      </c>
      <c r="G278" s="6">
        <f t="shared" si="19"/>
        <v>4529.3999999999996</v>
      </c>
      <c r="H278" s="6">
        <f t="shared" si="20"/>
        <v>3019.6000000000004</v>
      </c>
      <c r="I278" s="6">
        <f t="shared" si="21"/>
        <v>1811.76</v>
      </c>
      <c r="J278" s="6">
        <f t="shared" si="22"/>
        <v>24458.76</v>
      </c>
    </row>
    <row r="279" spans="2:10" x14ac:dyDescent="0.25">
      <c r="B279" s="1" t="s">
        <v>16</v>
      </c>
      <c r="C279" s="1" t="s">
        <v>34</v>
      </c>
      <c r="D279" s="5">
        <v>43547</v>
      </c>
      <c r="E279" s="5">
        <v>32478</v>
      </c>
      <c r="F279" s="1">
        <v>16882</v>
      </c>
      <c r="G279" s="6">
        <f t="shared" si="19"/>
        <v>5064.5999999999995</v>
      </c>
      <c r="H279" s="6">
        <f t="shared" si="20"/>
        <v>3376.4</v>
      </c>
      <c r="I279" s="6">
        <f t="shared" si="21"/>
        <v>2025.84</v>
      </c>
      <c r="J279" s="6">
        <f t="shared" si="22"/>
        <v>27348.84</v>
      </c>
    </row>
    <row r="280" spans="2:10" x14ac:dyDescent="0.25">
      <c r="B280" s="1" t="s">
        <v>16</v>
      </c>
      <c r="C280" s="1" t="s">
        <v>24</v>
      </c>
      <c r="D280" s="5">
        <v>43475</v>
      </c>
      <c r="E280" s="5">
        <v>34772</v>
      </c>
      <c r="F280" s="1">
        <v>15878</v>
      </c>
      <c r="G280" s="6">
        <f t="shared" si="19"/>
        <v>4763.3999999999996</v>
      </c>
      <c r="H280" s="6">
        <f t="shared" si="20"/>
        <v>3175.6000000000004</v>
      </c>
      <c r="I280" s="6">
        <f t="shared" si="21"/>
        <v>1905.36</v>
      </c>
      <c r="J280" s="6">
        <f t="shared" si="22"/>
        <v>25722.36</v>
      </c>
    </row>
    <row r="281" spans="2:10" x14ac:dyDescent="0.25">
      <c r="B281" s="1" t="s">
        <v>16</v>
      </c>
      <c r="C281" s="1" t="s">
        <v>23</v>
      </c>
      <c r="D281" s="5">
        <v>43799</v>
      </c>
      <c r="E281" s="5">
        <v>32163</v>
      </c>
      <c r="F281" s="1">
        <v>17730</v>
      </c>
      <c r="G281" s="6">
        <f t="shared" si="19"/>
        <v>5319</v>
      </c>
      <c r="H281" s="6">
        <f t="shared" si="20"/>
        <v>3546</v>
      </c>
      <c r="I281" s="6">
        <f t="shared" si="21"/>
        <v>2127.6</v>
      </c>
      <c r="J281" s="6">
        <f t="shared" si="22"/>
        <v>28722.6</v>
      </c>
    </row>
    <row r="282" spans="2:10" x14ac:dyDescent="0.25">
      <c r="B282" s="1" t="s">
        <v>16</v>
      </c>
      <c r="C282" s="1" t="s">
        <v>21</v>
      </c>
      <c r="D282" s="5">
        <v>43245</v>
      </c>
      <c r="E282" s="5">
        <v>33766</v>
      </c>
      <c r="F282" s="1">
        <v>15890</v>
      </c>
      <c r="G282" s="6">
        <f t="shared" si="19"/>
        <v>4767</v>
      </c>
      <c r="H282" s="6">
        <f t="shared" si="20"/>
        <v>3178</v>
      </c>
      <c r="I282" s="6">
        <f t="shared" si="21"/>
        <v>1906.8</v>
      </c>
      <c r="J282" s="6">
        <f t="shared" si="22"/>
        <v>25741.8</v>
      </c>
    </row>
    <row r="283" spans="2:10" x14ac:dyDescent="0.25">
      <c r="B283" s="1" t="s">
        <v>16</v>
      </c>
      <c r="C283" s="1" t="s">
        <v>33</v>
      </c>
      <c r="D283" s="5">
        <v>44894</v>
      </c>
      <c r="E283" s="5">
        <v>34869</v>
      </c>
      <c r="F283" s="1">
        <v>17280</v>
      </c>
      <c r="G283" s="6">
        <f t="shared" si="19"/>
        <v>5184</v>
      </c>
      <c r="H283" s="6">
        <f t="shared" si="20"/>
        <v>3456</v>
      </c>
      <c r="I283" s="6">
        <f t="shared" si="21"/>
        <v>2073.6</v>
      </c>
      <c r="J283" s="6">
        <f t="shared" si="22"/>
        <v>27993.599999999999</v>
      </c>
    </row>
    <row r="284" spans="2:10" x14ac:dyDescent="0.25">
      <c r="B284" s="1" t="s">
        <v>16</v>
      </c>
      <c r="C284" s="1" t="s">
        <v>31</v>
      </c>
      <c r="D284" s="5">
        <v>44602</v>
      </c>
      <c r="E284" s="5">
        <v>32153</v>
      </c>
      <c r="F284" s="1">
        <v>15706</v>
      </c>
      <c r="G284" s="6">
        <f t="shared" si="19"/>
        <v>4711.8</v>
      </c>
      <c r="H284" s="6">
        <f t="shared" si="20"/>
        <v>3141.2000000000003</v>
      </c>
      <c r="I284" s="6">
        <f t="shared" si="21"/>
        <v>1884.72</v>
      </c>
      <c r="J284" s="6">
        <f t="shared" si="22"/>
        <v>25443.72</v>
      </c>
    </row>
    <row r="285" spans="2:10" x14ac:dyDescent="0.25">
      <c r="B285" s="1" t="s">
        <v>16</v>
      </c>
      <c r="C285" s="1" t="s">
        <v>26</v>
      </c>
      <c r="D285" s="5">
        <v>44660</v>
      </c>
      <c r="E285" s="5">
        <v>34500</v>
      </c>
      <c r="F285" s="1">
        <v>15326</v>
      </c>
      <c r="G285" s="6">
        <f t="shared" si="19"/>
        <v>4597.8</v>
      </c>
      <c r="H285" s="6">
        <f t="shared" si="20"/>
        <v>3065.2000000000003</v>
      </c>
      <c r="I285" s="6">
        <f t="shared" si="21"/>
        <v>1839.12</v>
      </c>
      <c r="J285" s="6">
        <f t="shared" si="22"/>
        <v>24828.12</v>
      </c>
    </row>
    <row r="286" spans="2:10" x14ac:dyDescent="0.25">
      <c r="B286" s="1" t="s">
        <v>16</v>
      </c>
      <c r="C286" s="1" t="s">
        <v>23</v>
      </c>
      <c r="D286" s="5">
        <v>43946</v>
      </c>
      <c r="E286" s="5">
        <v>32313</v>
      </c>
      <c r="F286" s="1">
        <v>16550</v>
      </c>
      <c r="G286" s="6">
        <f t="shared" si="19"/>
        <v>4965</v>
      </c>
      <c r="H286" s="6">
        <f t="shared" si="20"/>
        <v>3310</v>
      </c>
      <c r="I286" s="6">
        <f t="shared" si="21"/>
        <v>1986</v>
      </c>
      <c r="J286" s="6">
        <f t="shared" si="22"/>
        <v>26811</v>
      </c>
    </row>
    <row r="287" spans="2:10" x14ac:dyDescent="0.25">
      <c r="B287" s="1" t="s">
        <v>16</v>
      </c>
      <c r="C287" s="1" t="s">
        <v>36</v>
      </c>
      <c r="D287" s="5">
        <v>44122</v>
      </c>
      <c r="E287" s="5">
        <v>34105</v>
      </c>
      <c r="F287" s="1">
        <v>16109</v>
      </c>
      <c r="G287" s="6">
        <f t="shared" si="19"/>
        <v>4832.7</v>
      </c>
      <c r="H287" s="6">
        <f t="shared" si="20"/>
        <v>3221.8</v>
      </c>
      <c r="I287" s="6">
        <f t="shared" si="21"/>
        <v>1933.08</v>
      </c>
      <c r="J287" s="6">
        <f t="shared" si="22"/>
        <v>26096.58</v>
      </c>
    </row>
    <row r="288" spans="2:10" x14ac:dyDescent="0.25">
      <c r="B288" s="1" t="s">
        <v>16</v>
      </c>
      <c r="C288" s="1" t="s">
        <v>25</v>
      </c>
      <c r="D288" s="5">
        <v>44582</v>
      </c>
      <c r="E288" s="5">
        <v>34889</v>
      </c>
      <c r="F288" s="1">
        <v>17794</v>
      </c>
      <c r="G288" s="6">
        <f t="shared" si="19"/>
        <v>5338.2</v>
      </c>
      <c r="H288" s="6">
        <f t="shared" si="20"/>
        <v>3558.8</v>
      </c>
      <c r="I288" s="6">
        <f t="shared" si="21"/>
        <v>2135.2799999999997</v>
      </c>
      <c r="J288" s="6">
        <f t="shared" si="22"/>
        <v>28826.28</v>
      </c>
    </row>
    <row r="289" spans="2:10" x14ac:dyDescent="0.25">
      <c r="B289" s="1" t="s">
        <v>16</v>
      </c>
      <c r="C289" s="1" t="s">
        <v>21</v>
      </c>
      <c r="D289" s="5">
        <v>43460</v>
      </c>
      <c r="E289" s="5">
        <v>34629</v>
      </c>
      <c r="F289" s="1">
        <v>16537</v>
      </c>
      <c r="G289" s="6">
        <f t="shared" si="19"/>
        <v>4961.0999999999995</v>
      </c>
      <c r="H289" s="6">
        <f t="shared" si="20"/>
        <v>3307.4</v>
      </c>
      <c r="I289" s="6">
        <f t="shared" si="21"/>
        <v>1984.4399999999998</v>
      </c>
      <c r="J289" s="6">
        <f t="shared" si="22"/>
        <v>26789.94</v>
      </c>
    </row>
    <row r="290" spans="2:10" x14ac:dyDescent="0.25">
      <c r="B290" s="1" t="s">
        <v>16</v>
      </c>
      <c r="C290" s="1" t="s">
        <v>36</v>
      </c>
      <c r="D290" s="5">
        <v>44803</v>
      </c>
      <c r="E290" s="5">
        <v>34681</v>
      </c>
      <c r="F290" s="1">
        <v>15733</v>
      </c>
      <c r="G290" s="6">
        <f t="shared" si="19"/>
        <v>4719.8999999999996</v>
      </c>
      <c r="H290" s="6">
        <f t="shared" si="20"/>
        <v>3146.6000000000004</v>
      </c>
      <c r="I290" s="6">
        <f t="shared" si="21"/>
        <v>1887.96</v>
      </c>
      <c r="J290" s="6">
        <f t="shared" si="22"/>
        <v>25487.46</v>
      </c>
    </row>
    <row r="291" spans="2:10" x14ac:dyDescent="0.25">
      <c r="B291" s="1" t="s">
        <v>16</v>
      </c>
      <c r="C291" s="1" t="s">
        <v>38</v>
      </c>
      <c r="D291" s="5">
        <v>43259</v>
      </c>
      <c r="E291" s="5">
        <v>33651</v>
      </c>
      <c r="F291" s="1">
        <v>17625</v>
      </c>
      <c r="G291" s="6">
        <f t="shared" si="19"/>
        <v>5287.5</v>
      </c>
      <c r="H291" s="6">
        <f t="shared" si="20"/>
        <v>3525</v>
      </c>
      <c r="I291" s="6">
        <f t="shared" si="21"/>
        <v>2115</v>
      </c>
      <c r="J291" s="6">
        <f t="shared" si="22"/>
        <v>28552.5</v>
      </c>
    </row>
    <row r="292" spans="2:10" x14ac:dyDescent="0.25">
      <c r="B292" s="1" t="s">
        <v>16</v>
      </c>
      <c r="C292" s="1" t="s">
        <v>37</v>
      </c>
      <c r="D292" s="5">
        <v>44854</v>
      </c>
      <c r="E292" s="5">
        <v>34950</v>
      </c>
      <c r="F292" s="1">
        <v>15257</v>
      </c>
      <c r="G292" s="6">
        <f t="shared" si="19"/>
        <v>4577.0999999999995</v>
      </c>
      <c r="H292" s="6">
        <f t="shared" si="20"/>
        <v>3051.4</v>
      </c>
      <c r="I292" s="6">
        <f t="shared" si="21"/>
        <v>1830.84</v>
      </c>
      <c r="J292" s="6">
        <f t="shared" si="22"/>
        <v>24716.34</v>
      </c>
    </row>
    <row r="293" spans="2:10" x14ac:dyDescent="0.25">
      <c r="B293" s="1" t="s">
        <v>16</v>
      </c>
      <c r="C293" s="1" t="s">
        <v>34</v>
      </c>
      <c r="D293" s="5">
        <v>43805</v>
      </c>
      <c r="E293" s="5">
        <v>35023</v>
      </c>
      <c r="F293" s="1">
        <v>15921</v>
      </c>
      <c r="G293" s="6">
        <f t="shared" si="19"/>
        <v>4776.3</v>
      </c>
      <c r="H293" s="6">
        <f t="shared" si="20"/>
        <v>3184.2000000000003</v>
      </c>
      <c r="I293" s="6">
        <f t="shared" si="21"/>
        <v>1910.52</v>
      </c>
      <c r="J293" s="6">
        <f t="shared" si="22"/>
        <v>25792.02</v>
      </c>
    </row>
    <row r="294" spans="2:10" x14ac:dyDescent="0.25">
      <c r="B294" s="1" t="s">
        <v>16</v>
      </c>
      <c r="C294" s="1" t="s">
        <v>28</v>
      </c>
      <c r="D294" s="5">
        <v>43404</v>
      </c>
      <c r="E294" s="5">
        <v>32663</v>
      </c>
      <c r="F294" s="1">
        <v>17030</v>
      </c>
      <c r="G294" s="6">
        <f t="shared" si="19"/>
        <v>5109</v>
      </c>
      <c r="H294" s="6">
        <f t="shared" si="20"/>
        <v>3406</v>
      </c>
      <c r="I294" s="6">
        <f t="shared" si="21"/>
        <v>2043.6</v>
      </c>
      <c r="J294" s="6">
        <f t="shared" si="22"/>
        <v>27588.6</v>
      </c>
    </row>
    <row r="295" spans="2:10" x14ac:dyDescent="0.25">
      <c r="B295" s="1" t="s">
        <v>16</v>
      </c>
      <c r="C295" s="1" t="s">
        <v>31</v>
      </c>
      <c r="D295" s="5">
        <v>44377</v>
      </c>
      <c r="E295" s="5">
        <v>34701</v>
      </c>
      <c r="F295" s="1">
        <v>17525</v>
      </c>
      <c r="G295" s="6">
        <f t="shared" si="19"/>
        <v>5257.5</v>
      </c>
      <c r="H295" s="6">
        <f t="shared" si="20"/>
        <v>3505</v>
      </c>
      <c r="I295" s="6">
        <f t="shared" si="21"/>
        <v>2103</v>
      </c>
      <c r="J295" s="6">
        <f t="shared" si="22"/>
        <v>28390.5</v>
      </c>
    </row>
    <row r="296" spans="2:10" x14ac:dyDescent="0.25">
      <c r="B296" s="1" t="s">
        <v>16</v>
      </c>
      <c r="C296" s="1" t="s">
        <v>28</v>
      </c>
      <c r="D296" s="5">
        <v>44625</v>
      </c>
      <c r="E296" s="5">
        <v>34259</v>
      </c>
      <c r="F296" s="1">
        <v>16945</v>
      </c>
      <c r="G296" s="6">
        <f t="shared" si="19"/>
        <v>5083.5</v>
      </c>
      <c r="H296" s="6">
        <f t="shared" si="20"/>
        <v>3389</v>
      </c>
      <c r="I296" s="6">
        <f t="shared" si="21"/>
        <v>2033.3999999999999</v>
      </c>
      <c r="J296" s="6">
        <f t="shared" si="22"/>
        <v>27450.9</v>
      </c>
    </row>
    <row r="297" spans="2:10" x14ac:dyDescent="0.25">
      <c r="B297" s="1" t="s">
        <v>16</v>
      </c>
      <c r="C297" s="1" t="s">
        <v>30</v>
      </c>
      <c r="D297" s="5">
        <v>44867</v>
      </c>
      <c r="E297" s="5">
        <v>34564</v>
      </c>
      <c r="F297" s="1">
        <v>15082</v>
      </c>
      <c r="G297" s="6">
        <f t="shared" si="19"/>
        <v>4524.5999999999995</v>
      </c>
      <c r="H297" s="6">
        <f t="shared" si="20"/>
        <v>3016.4</v>
      </c>
      <c r="I297" s="6">
        <f t="shared" si="21"/>
        <v>1809.84</v>
      </c>
      <c r="J297" s="6">
        <f t="shared" si="22"/>
        <v>24432.84</v>
      </c>
    </row>
    <row r="298" spans="2:10" x14ac:dyDescent="0.25">
      <c r="B298" s="1" t="s">
        <v>16</v>
      </c>
      <c r="C298" s="1" t="s">
        <v>25</v>
      </c>
      <c r="D298" s="5">
        <v>44452</v>
      </c>
      <c r="E298" s="5">
        <v>33614</v>
      </c>
      <c r="F298" s="1">
        <v>17731</v>
      </c>
      <c r="G298" s="6">
        <f t="shared" si="19"/>
        <v>5319.3</v>
      </c>
      <c r="H298" s="6">
        <f t="shared" si="20"/>
        <v>3546.2000000000003</v>
      </c>
      <c r="I298" s="6">
        <f t="shared" si="21"/>
        <v>2127.7199999999998</v>
      </c>
      <c r="J298" s="6">
        <f t="shared" si="22"/>
        <v>28724.22</v>
      </c>
    </row>
    <row r="299" spans="2:10" x14ac:dyDescent="0.25">
      <c r="B299" s="1" t="s">
        <v>16</v>
      </c>
      <c r="C299" s="1" t="s">
        <v>24</v>
      </c>
      <c r="D299" s="5">
        <v>43834</v>
      </c>
      <c r="E299" s="5">
        <v>34566</v>
      </c>
      <c r="F299" s="1">
        <v>17200</v>
      </c>
      <c r="G299" s="6">
        <f t="shared" si="19"/>
        <v>5160</v>
      </c>
      <c r="H299" s="6">
        <f t="shared" si="20"/>
        <v>3440</v>
      </c>
      <c r="I299" s="6">
        <f t="shared" si="21"/>
        <v>2064</v>
      </c>
      <c r="J299" s="6">
        <f t="shared" si="22"/>
        <v>27864</v>
      </c>
    </row>
    <row r="300" spans="2:10" x14ac:dyDescent="0.25">
      <c r="B300" s="1" t="s">
        <v>16</v>
      </c>
      <c r="C300" s="1" t="s">
        <v>36</v>
      </c>
      <c r="D300" s="5">
        <v>44355</v>
      </c>
      <c r="E300" s="5">
        <v>32514</v>
      </c>
      <c r="F300" s="1">
        <v>17227</v>
      </c>
      <c r="G300" s="6">
        <f t="shared" si="19"/>
        <v>5168.0999999999995</v>
      </c>
      <c r="H300" s="6">
        <f t="shared" si="20"/>
        <v>3445.4</v>
      </c>
      <c r="I300" s="6">
        <f t="shared" si="21"/>
        <v>2067.2399999999998</v>
      </c>
      <c r="J300" s="6">
        <f t="shared" si="22"/>
        <v>27907.739999999998</v>
      </c>
    </row>
    <row r="301" spans="2:10" x14ac:dyDescent="0.25">
      <c r="B301" s="1" t="s">
        <v>16</v>
      </c>
      <c r="C301" s="1" t="s">
        <v>31</v>
      </c>
      <c r="D301" s="5">
        <v>43597</v>
      </c>
      <c r="E301" s="5">
        <v>33614</v>
      </c>
      <c r="F301" s="1">
        <v>16318</v>
      </c>
      <c r="G301" s="6">
        <f t="shared" si="19"/>
        <v>4895.3999999999996</v>
      </c>
      <c r="H301" s="6">
        <f t="shared" si="20"/>
        <v>3263.6000000000004</v>
      </c>
      <c r="I301" s="6">
        <f t="shared" si="21"/>
        <v>1958.1599999999999</v>
      </c>
      <c r="J301" s="6">
        <f t="shared" si="22"/>
        <v>26435.16</v>
      </c>
    </row>
    <row r="302" spans="2:10" x14ac:dyDescent="0.25">
      <c r="B302" s="1" t="s">
        <v>16</v>
      </c>
      <c r="C302" s="1" t="s">
        <v>35</v>
      </c>
      <c r="D302" s="5">
        <v>44403</v>
      </c>
      <c r="E302" s="5">
        <v>33566</v>
      </c>
      <c r="F302" s="1">
        <v>17339</v>
      </c>
      <c r="G302" s="6">
        <f t="shared" si="19"/>
        <v>5201.7</v>
      </c>
      <c r="H302" s="6">
        <f t="shared" si="20"/>
        <v>3467.8</v>
      </c>
      <c r="I302" s="6">
        <f t="shared" si="21"/>
        <v>2080.6799999999998</v>
      </c>
      <c r="J302" s="6">
        <f t="shared" si="22"/>
        <v>28089.18</v>
      </c>
    </row>
    <row r="303" spans="2:10" x14ac:dyDescent="0.25">
      <c r="B303" s="1" t="s">
        <v>16</v>
      </c>
      <c r="C303" s="1" t="s">
        <v>27</v>
      </c>
      <c r="D303" s="5">
        <v>44037</v>
      </c>
      <c r="E303" s="5">
        <v>33426</v>
      </c>
      <c r="F303" s="1">
        <v>15014</v>
      </c>
      <c r="G303" s="6">
        <f t="shared" si="19"/>
        <v>4504.2</v>
      </c>
      <c r="H303" s="6">
        <f t="shared" si="20"/>
        <v>3002.8</v>
      </c>
      <c r="I303" s="6">
        <f t="shared" si="21"/>
        <v>1801.6799999999998</v>
      </c>
      <c r="J303" s="6">
        <f t="shared" si="22"/>
        <v>24322.68</v>
      </c>
    </row>
    <row r="304" spans="2:10" x14ac:dyDescent="0.25">
      <c r="B304" s="1" t="s">
        <v>16</v>
      </c>
      <c r="C304" s="1" t="s">
        <v>34</v>
      </c>
      <c r="D304" s="5">
        <v>43680</v>
      </c>
      <c r="E304" s="5">
        <v>35014</v>
      </c>
      <c r="F304" s="1">
        <v>17414</v>
      </c>
      <c r="G304" s="6">
        <f t="shared" si="19"/>
        <v>5224.2</v>
      </c>
      <c r="H304" s="6">
        <f t="shared" si="20"/>
        <v>3482.8</v>
      </c>
      <c r="I304" s="6">
        <f t="shared" si="21"/>
        <v>2089.6799999999998</v>
      </c>
      <c r="J304" s="6">
        <f t="shared" si="22"/>
        <v>28210.68</v>
      </c>
    </row>
    <row r="305" spans="2:10" x14ac:dyDescent="0.25">
      <c r="B305" s="1" t="s">
        <v>16</v>
      </c>
      <c r="C305" s="1" t="s">
        <v>20</v>
      </c>
      <c r="D305" s="5">
        <v>44922</v>
      </c>
      <c r="E305" s="5">
        <v>32485</v>
      </c>
      <c r="F305" s="1">
        <v>17222</v>
      </c>
      <c r="G305" s="6">
        <f t="shared" si="19"/>
        <v>5166.5999999999995</v>
      </c>
      <c r="H305" s="6">
        <f t="shared" si="20"/>
        <v>3444.4</v>
      </c>
      <c r="I305" s="6">
        <f t="shared" si="21"/>
        <v>2066.64</v>
      </c>
      <c r="J305" s="6">
        <f t="shared" si="22"/>
        <v>27899.64</v>
      </c>
    </row>
    <row r="306" spans="2:10" x14ac:dyDescent="0.25">
      <c r="B306" s="1" t="s">
        <v>16</v>
      </c>
      <c r="C306" s="1" t="s">
        <v>30</v>
      </c>
      <c r="D306" s="5">
        <v>44436</v>
      </c>
      <c r="E306" s="5">
        <v>32703</v>
      </c>
      <c r="F306" s="1">
        <v>16154</v>
      </c>
      <c r="G306" s="6">
        <f t="shared" si="19"/>
        <v>4846.2</v>
      </c>
      <c r="H306" s="6">
        <f t="shared" si="20"/>
        <v>3230.8</v>
      </c>
      <c r="I306" s="6">
        <f t="shared" si="21"/>
        <v>1938.48</v>
      </c>
      <c r="J306" s="6">
        <f t="shared" si="22"/>
        <v>26169.48</v>
      </c>
    </row>
    <row r="307" spans="2:10" x14ac:dyDescent="0.25">
      <c r="B307" s="1" t="s">
        <v>16</v>
      </c>
      <c r="C307" s="1" t="s">
        <v>24</v>
      </c>
      <c r="D307" s="5">
        <v>44902</v>
      </c>
      <c r="E307" s="5">
        <v>32854</v>
      </c>
      <c r="F307" s="1">
        <v>15224</v>
      </c>
      <c r="G307" s="6">
        <f t="shared" si="19"/>
        <v>4567.2</v>
      </c>
      <c r="H307" s="6">
        <f t="shared" si="20"/>
        <v>3044.8</v>
      </c>
      <c r="I307" s="6">
        <f t="shared" si="21"/>
        <v>1826.8799999999999</v>
      </c>
      <c r="J307" s="6">
        <f t="shared" si="22"/>
        <v>24662.880000000001</v>
      </c>
    </row>
    <row r="308" spans="2:10" x14ac:dyDescent="0.25">
      <c r="B308" s="1" t="s">
        <v>16</v>
      </c>
      <c r="C308" s="1" t="s">
        <v>33</v>
      </c>
      <c r="D308" s="5">
        <v>43414</v>
      </c>
      <c r="E308" s="5">
        <v>32472</v>
      </c>
      <c r="F308" s="1">
        <v>15916</v>
      </c>
      <c r="G308" s="6">
        <f t="shared" si="19"/>
        <v>4774.8</v>
      </c>
      <c r="H308" s="6">
        <f t="shared" si="20"/>
        <v>3183.2000000000003</v>
      </c>
      <c r="I308" s="6">
        <f t="shared" si="21"/>
        <v>1909.9199999999998</v>
      </c>
      <c r="J308" s="6">
        <f t="shared" si="22"/>
        <v>25783.919999999998</v>
      </c>
    </row>
    <row r="309" spans="2:10" x14ac:dyDescent="0.25">
      <c r="B309" s="1" t="s">
        <v>16</v>
      </c>
      <c r="C309" s="1" t="s">
        <v>29</v>
      </c>
      <c r="D309" s="5">
        <v>43324</v>
      </c>
      <c r="E309" s="5">
        <v>34241</v>
      </c>
      <c r="F309" s="1">
        <v>15634</v>
      </c>
      <c r="G309" s="6">
        <f t="shared" si="19"/>
        <v>4690.2</v>
      </c>
      <c r="H309" s="6">
        <f t="shared" si="20"/>
        <v>3126.8</v>
      </c>
      <c r="I309" s="6">
        <f t="shared" si="21"/>
        <v>1876.08</v>
      </c>
      <c r="J309" s="6">
        <f t="shared" si="22"/>
        <v>25327.08</v>
      </c>
    </row>
    <row r="310" spans="2:10" x14ac:dyDescent="0.25">
      <c r="B310" s="1" t="s">
        <v>16</v>
      </c>
      <c r="C310" s="1" t="s">
        <v>34</v>
      </c>
      <c r="D310" s="5">
        <v>44810</v>
      </c>
      <c r="E310" s="5">
        <v>33281</v>
      </c>
      <c r="F310" s="1">
        <v>17215</v>
      </c>
      <c r="G310" s="6">
        <f t="shared" si="19"/>
        <v>5164.5</v>
      </c>
      <c r="H310" s="6">
        <f t="shared" si="20"/>
        <v>3443</v>
      </c>
      <c r="I310" s="6">
        <f t="shared" si="21"/>
        <v>2065.7999999999997</v>
      </c>
      <c r="J310" s="6">
        <f t="shared" si="22"/>
        <v>27888.3</v>
      </c>
    </row>
    <row r="311" spans="2:10" x14ac:dyDescent="0.25">
      <c r="B311" s="1" t="s">
        <v>16</v>
      </c>
      <c r="C311" s="1" t="s">
        <v>32</v>
      </c>
      <c r="D311" s="5">
        <v>44546</v>
      </c>
      <c r="E311" s="5">
        <v>33866</v>
      </c>
      <c r="F311" s="1">
        <v>16471</v>
      </c>
      <c r="G311" s="6">
        <f t="shared" si="19"/>
        <v>4941.3</v>
      </c>
      <c r="H311" s="6">
        <f t="shared" si="20"/>
        <v>3294.2000000000003</v>
      </c>
      <c r="I311" s="6">
        <f t="shared" si="21"/>
        <v>1976.52</v>
      </c>
      <c r="J311" s="6">
        <f t="shared" si="22"/>
        <v>26683.02</v>
      </c>
    </row>
    <row r="312" spans="2:10" x14ac:dyDescent="0.25">
      <c r="B312" s="1" t="s">
        <v>16</v>
      </c>
      <c r="C312" s="1" t="s">
        <v>21</v>
      </c>
      <c r="D312" s="5">
        <v>43946</v>
      </c>
      <c r="E312" s="5">
        <v>34843</v>
      </c>
      <c r="F312" s="1">
        <v>15938</v>
      </c>
      <c r="G312" s="6">
        <f t="shared" si="19"/>
        <v>4781.3999999999996</v>
      </c>
      <c r="H312" s="6">
        <f t="shared" si="20"/>
        <v>3187.6000000000004</v>
      </c>
      <c r="I312" s="6">
        <f t="shared" si="21"/>
        <v>1912.56</v>
      </c>
      <c r="J312" s="6">
        <f t="shared" si="22"/>
        <v>25819.56</v>
      </c>
    </row>
    <row r="313" spans="2:10" x14ac:dyDescent="0.25">
      <c r="B313" s="1" t="s">
        <v>16</v>
      </c>
      <c r="C313" s="1" t="s">
        <v>30</v>
      </c>
      <c r="D313" s="5">
        <v>44229</v>
      </c>
      <c r="E313" s="5">
        <v>34677</v>
      </c>
      <c r="F313" s="1">
        <v>15534</v>
      </c>
      <c r="G313" s="6">
        <f t="shared" si="19"/>
        <v>4660.2</v>
      </c>
      <c r="H313" s="6">
        <f t="shared" si="20"/>
        <v>3106.8</v>
      </c>
      <c r="I313" s="6">
        <f t="shared" si="21"/>
        <v>1864.08</v>
      </c>
      <c r="J313" s="6">
        <f t="shared" si="22"/>
        <v>25165.08</v>
      </c>
    </row>
    <row r="314" spans="2:10" x14ac:dyDescent="0.25">
      <c r="B314" s="1" t="s">
        <v>16</v>
      </c>
      <c r="C314" s="1" t="s">
        <v>36</v>
      </c>
      <c r="D314" s="5">
        <v>43423</v>
      </c>
      <c r="E314" s="5">
        <v>33374</v>
      </c>
      <c r="F314" s="1">
        <v>15695</v>
      </c>
      <c r="G314" s="6">
        <f t="shared" si="19"/>
        <v>4708.5</v>
      </c>
      <c r="H314" s="6">
        <f t="shared" si="20"/>
        <v>3139</v>
      </c>
      <c r="I314" s="6">
        <f t="shared" si="21"/>
        <v>1883.3999999999999</v>
      </c>
      <c r="J314" s="6">
        <f t="shared" si="22"/>
        <v>25425.9</v>
      </c>
    </row>
    <row r="315" spans="2:10" x14ac:dyDescent="0.25">
      <c r="B315" s="1" t="s">
        <v>16</v>
      </c>
      <c r="C315" s="1" t="s">
        <v>32</v>
      </c>
      <c r="D315" s="5">
        <v>44639</v>
      </c>
      <c r="E315" s="5">
        <v>32534</v>
      </c>
      <c r="F315" s="1">
        <v>17414</v>
      </c>
      <c r="G315" s="6">
        <f t="shared" si="19"/>
        <v>5224.2</v>
      </c>
      <c r="H315" s="6">
        <f t="shared" si="20"/>
        <v>3482.8</v>
      </c>
      <c r="I315" s="6">
        <f t="shared" si="21"/>
        <v>2089.6799999999998</v>
      </c>
      <c r="J315" s="6">
        <f t="shared" si="22"/>
        <v>28210.68</v>
      </c>
    </row>
    <row r="316" spans="2:10" x14ac:dyDescent="0.25">
      <c r="B316" s="1" t="s">
        <v>16</v>
      </c>
      <c r="C316" s="1" t="s">
        <v>30</v>
      </c>
      <c r="D316" s="5">
        <v>43884</v>
      </c>
      <c r="E316" s="5">
        <v>33998</v>
      </c>
      <c r="F316" s="1">
        <v>15994</v>
      </c>
      <c r="G316" s="6">
        <f t="shared" si="19"/>
        <v>4798.2</v>
      </c>
      <c r="H316" s="6">
        <f t="shared" si="20"/>
        <v>3198.8</v>
      </c>
      <c r="I316" s="6">
        <f t="shared" si="21"/>
        <v>1919.28</v>
      </c>
      <c r="J316" s="6">
        <f t="shared" si="22"/>
        <v>25910.28</v>
      </c>
    </row>
    <row r="317" spans="2:10" x14ac:dyDescent="0.25">
      <c r="B317" s="1" t="s">
        <v>16</v>
      </c>
      <c r="C317" s="1" t="s">
        <v>20</v>
      </c>
      <c r="D317" s="5">
        <v>43874</v>
      </c>
      <c r="E317" s="5">
        <v>34312</v>
      </c>
      <c r="F317" s="1">
        <v>15247</v>
      </c>
      <c r="G317" s="6">
        <f t="shared" si="19"/>
        <v>4574.0999999999995</v>
      </c>
      <c r="H317" s="6">
        <f t="shared" si="20"/>
        <v>3049.4</v>
      </c>
      <c r="I317" s="6">
        <f t="shared" si="21"/>
        <v>1829.6399999999999</v>
      </c>
      <c r="J317" s="6">
        <f t="shared" si="22"/>
        <v>24700.14</v>
      </c>
    </row>
    <row r="318" spans="2:10" x14ac:dyDescent="0.25">
      <c r="B318" s="1" t="s">
        <v>16</v>
      </c>
      <c r="C318" s="1" t="s">
        <v>24</v>
      </c>
      <c r="D318" s="5">
        <v>44582</v>
      </c>
      <c r="E318" s="5">
        <v>34783</v>
      </c>
      <c r="F318" s="1">
        <v>15901</v>
      </c>
      <c r="G318" s="6">
        <f t="shared" si="19"/>
        <v>4770.3</v>
      </c>
      <c r="H318" s="6">
        <f t="shared" si="20"/>
        <v>3180.2000000000003</v>
      </c>
      <c r="I318" s="6">
        <f t="shared" si="21"/>
        <v>1908.12</v>
      </c>
      <c r="J318" s="6">
        <f t="shared" si="22"/>
        <v>25759.62</v>
      </c>
    </row>
    <row r="319" spans="2:10" x14ac:dyDescent="0.25">
      <c r="B319" s="1" t="s">
        <v>16</v>
      </c>
      <c r="C319" s="1" t="s">
        <v>0</v>
      </c>
      <c r="D319" s="5">
        <v>43185</v>
      </c>
      <c r="E319" s="5">
        <v>34269</v>
      </c>
      <c r="F319" s="1">
        <v>17413</v>
      </c>
      <c r="G319" s="6">
        <f t="shared" si="19"/>
        <v>5223.8999999999996</v>
      </c>
      <c r="H319" s="6">
        <f t="shared" si="20"/>
        <v>3482.6000000000004</v>
      </c>
      <c r="I319" s="6">
        <f t="shared" si="21"/>
        <v>2089.56</v>
      </c>
      <c r="J319" s="6">
        <f t="shared" si="22"/>
        <v>28209.06</v>
      </c>
    </row>
    <row r="320" spans="2:10" x14ac:dyDescent="0.25">
      <c r="B320" s="1" t="s">
        <v>16</v>
      </c>
      <c r="C320" s="1" t="s">
        <v>20</v>
      </c>
      <c r="D320" s="5">
        <v>43527</v>
      </c>
      <c r="E320" s="5">
        <v>33573</v>
      </c>
      <c r="F320" s="1">
        <v>16861</v>
      </c>
      <c r="G320" s="6">
        <f t="shared" si="19"/>
        <v>5058.3</v>
      </c>
      <c r="H320" s="6">
        <f t="shared" si="20"/>
        <v>3372.2000000000003</v>
      </c>
      <c r="I320" s="6">
        <f t="shared" si="21"/>
        <v>2023.32</v>
      </c>
      <c r="J320" s="6">
        <f t="shared" si="22"/>
        <v>27314.82</v>
      </c>
    </row>
    <row r="321" spans="2:10" x14ac:dyDescent="0.25">
      <c r="B321" s="1" t="s">
        <v>16</v>
      </c>
      <c r="C321" s="1" t="s">
        <v>22</v>
      </c>
      <c r="D321" s="5">
        <v>43891</v>
      </c>
      <c r="E321" s="5">
        <v>33554</v>
      </c>
      <c r="F321" s="1">
        <v>16426</v>
      </c>
      <c r="G321" s="6">
        <f t="shared" si="19"/>
        <v>4927.8</v>
      </c>
      <c r="H321" s="6">
        <f t="shared" si="20"/>
        <v>3285.2000000000003</v>
      </c>
      <c r="I321" s="6">
        <f t="shared" si="21"/>
        <v>1971.12</v>
      </c>
      <c r="J321" s="6">
        <f t="shared" si="22"/>
        <v>26610.12</v>
      </c>
    </row>
    <row r="322" spans="2:10" x14ac:dyDescent="0.25">
      <c r="B322" s="1" t="s">
        <v>16</v>
      </c>
      <c r="C322" s="1" t="s">
        <v>25</v>
      </c>
      <c r="D322" s="5">
        <v>44398</v>
      </c>
      <c r="E322" s="5">
        <v>32721</v>
      </c>
      <c r="F322" s="1">
        <v>17374</v>
      </c>
      <c r="G322" s="6">
        <f t="shared" si="19"/>
        <v>5212.2</v>
      </c>
      <c r="H322" s="6">
        <f t="shared" si="20"/>
        <v>3474.8</v>
      </c>
      <c r="I322" s="6">
        <f t="shared" si="21"/>
        <v>2084.88</v>
      </c>
      <c r="J322" s="6">
        <f t="shared" si="22"/>
        <v>28145.88</v>
      </c>
    </row>
    <row r="323" spans="2:10" x14ac:dyDescent="0.25">
      <c r="B323" s="1" t="s">
        <v>16</v>
      </c>
      <c r="C323" s="1" t="s">
        <v>26</v>
      </c>
      <c r="D323" s="5">
        <v>43605</v>
      </c>
      <c r="E323" s="5">
        <v>32236</v>
      </c>
      <c r="F323" s="1">
        <v>15711</v>
      </c>
      <c r="G323" s="6">
        <f t="shared" si="19"/>
        <v>4713.3</v>
      </c>
      <c r="H323" s="6">
        <f t="shared" si="20"/>
        <v>3142.2000000000003</v>
      </c>
      <c r="I323" s="6">
        <f t="shared" si="21"/>
        <v>1885.32</v>
      </c>
      <c r="J323" s="6">
        <f t="shared" si="22"/>
        <v>25451.82</v>
      </c>
    </row>
    <row r="324" spans="2:10" x14ac:dyDescent="0.25">
      <c r="B324" s="1" t="s">
        <v>16</v>
      </c>
      <c r="C324" s="1" t="s">
        <v>37</v>
      </c>
      <c r="D324" s="5">
        <v>43576</v>
      </c>
      <c r="E324" s="5">
        <v>34771</v>
      </c>
      <c r="F324" s="1">
        <v>16334</v>
      </c>
      <c r="G324" s="6">
        <f t="shared" si="19"/>
        <v>4900.2</v>
      </c>
      <c r="H324" s="6">
        <f t="shared" si="20"/>
        <v>3266.8</v>
      </c>
      <c r="I324" s="6">
        <f t="shared" si="21"/>
        <v>1960.08</v>
      </c>
      <c r="J324" s="6">
        <f t="shared" si="22"/>
        <v>26461.08</v>
      </c>
    </row>
    <row r="325" spans="2:10" x14ac:dyDescent="0.25">
      <c r="B325" s="1" t="s">
        <v>16</v>
      </c>
      <c r="C325" s="1" t="s">
        <v>29</v>
      </c>
      <c r="D325" s="5">
        <v>43394</v>
      </c>
      <c r="E325" s="5">
        <v>33845</v>
      </c>
      <c r="F325" s="1">
        <v>17587</v>
      </c>
      <c r="G325" s="6">
        <f t="shared" si="19"/>
        <v>5276.0999999999995</v>
      </c>
      <c r="H325" s="6">
        <f t="shared" si="20"/>
        <v>3517.4</v>
      </c>
      <c r="I325" s="6">
        <f t="shared" si="21"/>
        <v>2110.44</v>
      </c>
      <c r="J325" s="6">
        <f t="shared" si="22"/>
        <v>28490.94</v>
      </c>
    </row>
    <row r="326" spans="2:10" x14ac:dyDescent="0.25">
      <c r="B326" s="1" t="s">
        <v>16</v>
      </c>
      <c r="C326" s="1" t="s">
        <v>0</v>
      </c>
      <c r="D326" s="5">
        <v>44024</v>
      </c>
      <c r="E326" s="5">
        <v>32875</v>
      </c>
      <c r="F326" s="1">
        <v>16751</v>
      </c>
      <c r="G326" s="6">
        <f t="shared" si="19"/>
        <v>5025.3</v>
      </c>
      <c r="H326" s="6">
        <f t="shared" si="20"/>
        <v>3350.2000000000003</v>
      </c>
      <c r="I326" s="6">
        <f t="shared" si="21"/>
        <v>2010.12</v>
      </c>
      <c r="J326" s="6">
        <f t="shared" si="22"/>
        <v>27136.62</v>
      </c>
    </row>
    <row r="327" spans="2:10" x14ac:dyDescent="0.25">
      <c r="B327" s="1" t="s">
        <v>16</v>
      </c>
      <c r="C327" s="1" t="s">
        <v>34</v>
      </c>
      <c r="D327" s="5">
        <v>43657</v>
      </c>
      <c r="E327" s="5">
        <v>34780</v>
      </c>
      <c r="F327" s="1">
        <v>17922</v>
      </c>
      <c r="G327" s="6">
        <f t="shared" ref="G327:G390" si="23">F327*0.3</f>
        <v>5376.5999999999995</v>
      </c>
      <c r="H327" s="6">
        <f t="shared" si="20"/>
        <v>3584.4</v>
      </c>
      <c r="I327" s="6">
        <f t="shared" si="21"/>
        <v>2150.64</v>
      </c>
      <c r="J327" s="6">
        <f t="shared" si="22"/>
        <v>29033.64</v>
      </c>
    </row>
    <row r="328" spans="2:10" x14ac:dyDescent="0.25">
      <c r="B328" s="1" t="s">
        <v>16</v>
      </c>
      <c r="C328" s="1" t="s">
        <v>32</v>
      </c>
      <c r="D328" s="5">
        <v>43503</v>
      </c>
      <c r="E328" s="5">
        <v>34501</v>
      </c>
      <c r="F328" s="1">
        <v>17766</v>
      </c>
      <c r="G328" s="6">
        <f t="shared" si="23"/>
        <v>5329.8</v>
      </c>
      <c r="H328" s="6">
        <f t="shared" si="20"/>
        <v>3553.2000000000003</v>
      </c>
      <c r="I328" s="6">
        <f t="shared" si="21"/>
        <v>2131.92</v>
      </c>
      <c r="J328" s="6">
        <f t="shared" si="22"/>
        <v>28780.92</v>
      </c>
    </row>
    <row r="329" spans="2:10" x14ac:dyDescent="0.25">
      <c r="B329" s="1" t="s">
        <v>16</v>
      </c>
      <c r="C329" s="1" t="s">
        <v>35</v>
      </c>
      <c r="D329" s="5">
        <v>44081</v>
      </c>
      <c r="E329" s="5">
        <v>33581</v>
      </c>
      <c r="F329" s="1">
        <v>16939</v>
      </c>
      <c r="G329" s="6">
        <f t="shared" si="23"/>
        <v>5081.7</v>
      </c>
      <c r="H329" s="6">
        <f t="shared" si="20"/>
        <v>3387.8</v>
      </c>
      <c r="I329" s="6">
        <f t="shared" si="21"/>
        <v>2032.6799999999998</v>
      </c>
      <c r="J329" s="6">
        <f t="shared" si="22"/>
        <v>27441.18</v>
      </c>
    </row>
    <row r="330" spans="2:10" x14ac:dyDescent="0.25">
      <c r="B330" s="1" t="s">
        <v>16</v>
      </c>
      <c r="C330" s="1" t="s">
        <v>31</v>
      </c>
      <c r="D330" s="5">
        <v>44584</v>
      </c>
      <c r="E330" s="5">
        <v>33299</v>
      </c>
      <c r="F330" s="1">
        <v>15495</v>
      </c>
      <c r="G330" s="6">
        <f t="shared" si="23"/>
        <v>4648.5</v>
      </c>
      <c r="H330" s="6">
        <f t="shared" si="20"/>
        <v>3099</v>
      </c>
      <c r="I330" s="6">
        <f t="shared" si="21"/>
        <v>1859.3999999999999</v>
      </c>
      <c r="J330" s="6">
        <f t="shared" si="22"/>
        <v>25101.9</v>
      </c>
    </row>
    <row r="331" spans="2:10" x14ac:dyDescent="0.25">
      <c r="B331" s="1" t="s">
        <v>16</v>
      </c>
      <c r="C331" s="1" t="s">
        <v>26</v>
      </c>
      <c r="D331" s="5">
        <v>43633</v>
      </c>
      <c r="E331" s="5">
        <v>33371</v>
      </c>
      <c r="F331" s="1">
        <v>15448</v>
      </c>
      <c r="G331" s="6">
        <f t="shared" si="23"/>
        <v>4634.3999999999996</v>
      </c>
      <c r="H331" s="6">
        <f t="shared" si="20"/>
        <v>3089.6000000000004</v>
      </c>
      <c r="I331" s="6">
        <f t="shared" si="21"/>
        <v>1853.76</v>
      </c>
      <c r="J331" s="6">
        <f t="shared" si="22"/>
        <v>25025.759999999998</v>
      </c>
    </row>
    <row r="332" spans="2:10" x14ac:dyDescent="0.25">
      <c r="B332" s="1" t="s">
        <v>16</v>
      </c>
      <c r="C332" s="1" t="s">
        <v>29</v>
      </c>
      <c r="D332" s="5">
        <v>44651</v>
      </c>
      <c r="E332" s="5">
        <v>33078</v>
      </c>
      <c r="F332" s="1">
        <v>17033</v>
      </c>
      <c r="G332" s="6">
        <f t="shared" si="23"/>
        <v>5109.8999999999996</v>
      </c>
      <c r="H332" s="6">
        <f t="shared" si="20"/>
        <v>3406.6000000000004</v>
      </c>
      <c r="I332" s="6">
        <f t="shared" si="21"/>
        <v>2043.96</v>
      </c>
      <c r="J332" s="6">
        <f t="shared" si="22"/>
        <v>27593.46</v>
      </c>
    </row>
    <row r="333" spans="2:10" x14ac:dyDescent="0.25">
      <c r="B333" s="1" t="s">
        <v>16</v>
      </c>
      <c r="C333" s="1" t="s">
        <v>34</v>
      </c>
      <c r="D333" s="5">
        <v>44653</v>
      </c>
      <c r="E333" s="5">
        <v>32247</v>
      </c>
      <c r="F333" s="1">
        <v>15082</v>
      </c>
      <c r="G333" s="6">
        <f t="shared" si="23"/>
        <v>4524.5999999999995</v>
      </c>
      <c r="H333" s="6">
        <f t="shared" ref="H333:H396" si="24">F333*20%</f>
        <v>3016.4</v>
      </c>
      <c r="I333" s="6">
        <f t="shared" ref="I333:I396" si="25">F333*12%</f>
        <v>1809.84</v>
      </c>
      <c r="J333" s="6">
        <f t="shared" ref="J333:J396" si="26">SUM(F333:I333)</f>
        <v>24432.84</v>
      </c>
    </row>
    <row r="334" spans="2:10" x14ac:dyDescent="0.25">
      <c r="B334" s="1" t="s">
        <v>16</v>
      </c>
      <c r="C334" s="1" t="s">
        <v>22</v>
      </c>
      <c r="D334" s="5">
        <v>44418</v>
      </c>
      <c r="E334" s="5">
        <v>33195</v>
      </c>
      <c r="F334" s="1">
        <v>17691</v>
      </c>
      <c r="G334" s="6">
        <f t="shared" si="23"/>
        <v>5307.3</v>
      </c>
      <c r="H334" s="6">
        <f t="shared" si="24"/>
        <v>3538.2000000000003</v>
      </c>
      <c r="I334" s="6">
        <f t="shared" si="25"/>
        <v>2122.92</v>
      </c>
      <c r="J334" s="6">
        <f t="shared" si="26"/>
        <v>28659.42</v>
      </c>
    </row>
    <row r="335" spans="2:10" x14ac:dyDescent="0.25">
      <c r="B335" s="1" t="s">
        <v>16</v>
      </c>
      <c r="C335" s="1" t="s">
        <v>0</v>
      </c>
      <c r="D335" s="5">
        <v>43711</v>
      </c>
      <c r="E335" s="5">
        <v>32591</v>
      </c>
      <c r="F335" s="1">
        <v>17774</v>
      </c>
      <c r="G335" s="6">
        <f t="shared" si="23"/>
        <v>5332.2</v>
      </c>
      <c r="H335" s="6">
        <f t="shared" si="24"/>
        <v>3554.8</v>
      </c>
      <c r="I335" s="6">
        <f t="shared" si="25"/>
        <v>2132.88</v>
      </c>
      <c r="J335" s="6">
        <f t="shared" si="26"/>
        <v>28793.88</v>
      </c>
    </row>
    <row r="336" spans="2:10" x14ac:dyDescent="0.25">
      <c r="B336" s="1" t="s">
        <v>16</v>
      </c>
      <c r="C336" s="1" t="s">
        <v>30</v>
      </c>
      <c r="D336" s="5">
        <v>44232</v>
      </c>
      <c r="E336" s="5">
        <v>33254</v>
      </c>
      <c r="F336" s="1">
        <v>15896</v>
      </c>
      <c r="G336" s="6">
        <f t="shared" si="23"/>
        <v>4768.8</v>
      </c>
      <c r="H336" s="6">
        <f t="shared" si="24"/>
        <v>3179.2000000000003</v>
      </c>
      <c r="I336" s="6">
        <f t="shared" si="25"/>
        <v>1907.52</v>
      </c>
      <c r="J336" s="6">
        <f t="shared" si="26"/>
        <v>25751.52</v>
      </c>
    </row>
    <row r="337" spans="2:10" x14ac:dyDescent="0.25">
      <c r="B337" s="1" t="s">
        <v>16</v>
      </c>
      <c r="C337" s="1" t="s">
        <v>20</v>
      </c>
      <c r="D337" s="5">
        <v>44162</v>
      </c>
      <c r="E337" s="5">
        <v>33306</v>
      </c>
      <c r="F337" s="1">
        <v>16858</v>
      </c>
      <c r="G337" s="6">
        <f t="shared" si="23"/>
        <v>5057.3999999999996</v>
      </c>
      <c r="H337" s="6">
        <f t="shared" si="24"/>
        <v>3371.6000000000004</v>
      </c>
      <c r="I337" s="6">
        <f t="shared" si="25"/>
        <v>2022.96</v>
      </c>
      <c r="J337" s="6">
        <f t="shared" si="26"/>
        <v>27309.96</v>
      </c>
    </row>
    <row r="338" spans="2:10" x14ac:dyDescent="0.25">
      <c r="B338" s="1" t="s">
        <v>16</v>
      </c>
      <c r="C338" s="1" t="s">
        <v>25</v>
      </c>
      <c r="D338" s="5">
        <v>44170</v>
      </c>
      <c r="E338" s="5">
        <v>32613</v>
      </c>
      <c r="F338" s="1">
        <v>17971</v>
      </c>
      <c r="G338" s="6">
        <f t="shared" si="23"/>
        <v>5391.3</v>
      </c>
      <c r="H338" s="6">
        <f t="shared" si="24"/>
        <v>3594.2000000000003</v>
      </c>
      <c r="I338" s="6">
        <f t="shared" si="25"/>
        <v>2156.52</v>
      </c>
      <c r="J338" s="6">
        <f t="shared" si="26"/>
        <v>29113.02</v>
      </c>
    </row>
    <row r="339" spans="2:10" x14ac:dyDescent="0.25">
      <c r="B339" s="1" t="s">
        <v>16</v>
      </c>
      <c r="C339" s="1" t="s">
        <v>33</v>
      </c>
      <c r="D339" s="5">
        <v>44184</v>
      </c>
      <c r="E339" s="5">
        <v>32937</v>
      </c>
      <c r="F339" s="1">
        <v>15242</v>
      </c>
      <c r="G339" s="6">
        <f t="shared" si="23"/>
        <v>4572.5999999999995</v>
      </c>
      <c r="H339" s="6">
        <f t="shared" si="24"/>
        <v>3048.4</v>
      </c>
      <c r="I339" s="6">
        <f t="shared" si="25"/>
        <v>1829.04</v>
      </c>
      <c r="J339" s="6">
        <f t="shared" si="26"/>
        <v>24692.04</v>
      </c>
    </row>
    <row r="340" spans="2:10" x14ac:dyDescent="0.25">
      <c r="B340" s="1" t="s">
        <v>16</v>
      </c>
      <c r="C340" s="1" t="s">
        <v>27</v>
      </c>
      <c r="D340" s="5">
        <v>44082</v>
      </c>
      <c r="E340" s="5">
        <v>33723</v>
      </c>
      <c r="F340" s="1">
        <v>17713</v>
      </c>
      <c r="G340" s="6">
        <f t="shared" si="23"/>
        <v>5313.9</v>
      </c>
      <c r="H340" s="6">
        <f t="shared" si="24"/>
        <v>3542.6000000000004</v>
      </c>
      <c r="I340" s="6">
        <f t="shared" si="25"/>
        <v>2125.56</v>
      </c>
      <c r="J340" s="6">
        <f t="shared" si="26"/>
        <v>28695.06</v>
      </c>
    </row>
    <row r="341" spans="2:10" x14ac:dyDescent="0.25">
      <c r="B341" s="1" t="s">
        <v>16</v>
      </c>
      <c r="C341" s="1" t="s">
        <v>21</v>
      </c>
      <c r="D341" s="5">
        <v>43486</v>
      </c>
      <c r="E341" s="5">
        <v>33647</v>
      </c>
      <c r="F341" s="1">
        <v>16376</v>
      </c>
      <c r="G341" s="6">
        <f t="shared" si="23"/>
        <v>4912.8</v>
      </c>
      <c r="H341" s="6">
        <f t="shared" si="24"/>
        <v>3275.2000000000003</v>
      </c>
      <c r="I341" s="6">
        <f t="shared" si="25"/>
        <v>1965.12</v>
      </c>
      <c r="J341" s="6">
        <f t="shared" si="26"/>
        <v>26529.119999999999</v>
      </c>
    </row>
    <row r="342" spans="2:10" x14ac:dyDescent="0.25">
      <c r="B342" s="1" t="s">
        <v>16</v>
      </c>
      <c r="C342" s="1" t="s">
        <v>22</v>
      </c>
      <c r="D342" s="5">
        <v>43873</v>
      </c>
      <c r="E342" s="5">
        <v>34016</v>
      </c>
      <c r="F342" s="1">
        <v>16804</v>
      </c>
      <c r="G342" s="6">
        <f t="shared" si="23"/>
        <v>5041.2</v>
      </c>
      <c r="H342" s="6">
        <f t="shared" si="24"/>
        <v>3360.8</v>
      </c>
      <c r="I342" s="6">
        <f t="shared" si="25"/>
        <v>2016.48</v>
      </c>
      <c r="J342" s="6">
        <f t="shared" si="26"/>
        <v>27222.48</v>
      </c>
    </row>
    <row r="343" spans="2:10" x14ac:dyDescent="0.25">
      <c r="B343" s="1" t="s">
        <v>16</v>
      </c>
      <c r="C343" s="1" t="s">
        <v>26</v>
      </c>
      <c r="D343" s="5">
        <v>43969</v>
      </c>
      <c r="E343" s="5">
        <v>34101</v>
      </c>
      <c r="F343" s="1">
        <v>16810</v>
      </c>
      <c r="G343" s="6">
        <f t="shared" si="23"/>
        <v>5043</v>
      </c>
      <c r="H343" s="6">
        <f t="shared" si="24"/>
        <v>3362</v>
      </c>
      <c r="I343" s="6">
        <f t="shared" si="25"/>
        <v>2017.1999999999998</v>
      </c>
      <c r="J343" s="6">
        <f t="shared" si="26"/>
        <v>27232.2</v>
      </c>
    </row>
    <row r="344" spans="2:10" x14ac:dyDescent="0.25">
      <c r="B344" s="1" t="s">
        <v>16</v>
      </c>
      <c r="C344" s="1" t="s">
        <v>30</v>
      </c>
      <c r="D344" s="5">
        <v>43515</v>
      </c>
      <c r="E344" s="5">
        <v>32532</v>
      </c>
      <c r="F344" s="1">
        <v>17197</v>
      </c>
      <c r="G344" s="6">
        <f t="shared" si="23"/>
        <v>5159.0999999999995</v>
      </c>
      <c r="H344" s="6">
        <f t="shared" si="24"/>
        <v>3439.4</v>
      </c>
      <c r="I344" s="6">
        <f t="shared" si="25"/>
        <v>2063.64</v>
      </c>
      <c r="J344" s="6">
        <f t="shared" si="26"/>
        <v>27859.14</v>
      </c>
    </row>
    <row r="345" spans="2:10" x14ac:dyDescent="0.25">
      <c r="B345" s="1" t="s">
        <v>17</v>
      </c>
      <c r="C345" s="1" t="s">
        <v>23</v>
      </c>
      <c r="D345" s="5">
        <v>44322</v>
      </c>
      <c r="E345" s="5">
        <v>34432</v>
      </c>
      <c r="F345" s="1">
        <v>12016</v>
      </c>
      <c r="G345" s="6">
        <f t="shared" si="23"/>
        <v>3604.7999999999997</v>
      </c>
      <c r="H345" s="6">
        <f t="shared" si="24"/>
        <v>2403.2000000000003</v>
      </c>
      <c r="I345" s="6">
        <f t="shared" si="25"/>
        <v>1441.9199999999998</v>
      </c>
      <c r="J345" s="6">
        <f t="shared" si="26"/>
        <v>19465.919999999998</v>
      </c>
    </row>
    <row r="346" spans="2:10" x14ac:dyDescent="0.25">
      <c r="B346" s="1" t="s">
        <v>17</v>
      </c>
      <c r="C346" s="1" t="s">
        <v>26</v>
      </c>
      <c r="D346" s="5">
        <v>44848</v>
      </c>
      <c r="E346" s="5">
        <v>33651</v>
      </c>
      <c r="F346" s="1">
        <v>12519</v>
      </c>
      <c r="G346" s="6">
        <f t="shared" si="23"/>
        <v>3755.7</v>
      </c>
      <c r="H346" s="6">
        <f t="shared" si="24"/>
        <v>2503.8000000000002</v>
      </c>
      <c r="I346" s="6">
        <f t="shared" si="25"/>
        <v>1502.28</v>
      </c>
      <c r="J346" s="6">
        <f t="shared" si="26"/>
        <v>20280.78</v>
      </c>
    </row>
    <row r="347" spans="2:10" x14ac:dyDescent="0.25">
      <c r="B347" s="1" t="s">
        <v>17</v>
      </c>
      <c r="C347" s="1" t="s">
        <v>32</v>
      </c>
      <c r="D347" s="5">
        <v>44014</v>
      </c>
      <c r="E347" s="5">
        <v>34795</v>
      </c>
      <c r="F347" s="1">
        <v>11410</v>
      </c>
      <c r="G347" s="6">
        <f t="shared" si="23"/>
        <v>3423</v>
      </c>
      <c r="H347" s="6">
        <f t="shared" si="24"/>
        <v>2282</v>
      </c>
      <c r="I347" s="6">
        <f t="shared" si="25"/>
        <v>1369.2</v>
      </c>
      <c r="J347" s="6">
        <f t="shared" si="26"/>
        <v>18484.2</v>
      </c>
    </row>
    <row r="348" spans="2:10" x14ac:dyDescent="0.25">
      <c r="B348" s="1" t="s">
        <v>17</v>
      </c>
      <c r="C348" s="1" t="s">
        <v>26</v>
      </c>
      <c r="D348" s="5">
        <v>43492</v>
      </c>
      <c r="E348" s="5">
        <v>33614</v>
      </c>
      <c r="F348" s="1">
        <v>12840</v>
      </c>
      <c r="G348" s="6">
        <f t="shared" si="23"/>
        <v>3852</v>
      </c>
      <c r="H348" s="6">
        <f t="shared" si="24"/>
        <v>2568</v>
      </c>
      <c r="I348" s="6">
        <f t="shared" si="25"/>
        <v>1540.8</v>
      </c>
      <c r="J348" s="6">
        <f t="shared" si="26"/>
        <v>20800.8</v>
      </c>
    </row>
    <row r="349" spans="2:10" x14ac:dyDescent="0.25">
      <c r="B349" s="1" t="s">
        <v>17</v>
      </c>
      <c r="C349" s="1" t="s">
        <v>27</v>
      </c>
      <c r="D349" s="5">
        <v>43581</v>
      </c>
      <c r="E349" s="5">
        <v>33903</v>
      </c>
      <c r="F349" s="1">
        <v>12345</v>
      </c>
      <c r="G349" s="6">
        <f t="shared" si="23"/>
        <v>3703.5</v>
      </c>
      <c r="H349" s="6">
        <f t="shared" si="24"/>
        <v>2469</v>
      </c>
      <c r="I349" s="6">
        <f t="shared" si="25"/>
        <v>1481.3999999999999</v>
      </c>
      <c r="J349" s="6">
        <f t="shared" si="26"/>
        <v>19998.900000000001</v>
      </c>
    </row>
    <row r="350" spans="2:10" x14ac:dyDescent="0.25">
      <c r="B350" s="1" t="s">
        <v>17</v>
      </c>
      <c r="C350" s="1" t="s">
        <v>0</v>
      </c>
      <c r="D350" s="5">
        <v>44600</v>
      </c>
      <c r="E350" s="5">
        <v>34616</v>
      </c>
      <c r="F350" s="1">
        <v>12576</v>
      </c>
      <c r="G350" s="6">
        <f t="shared" si="23"/>
        <v>3772.7999999999997</v>
      </c>
      <c r="H350" s="6">
        <f t="shared" si="24"/>
        <v>2515.2000000000003</v>
      </c>
      <c r="I350" s="6">
        <f t="shared" si="25"/>
        <v>1509.12</v>
      </c>
      <c r="J350" s="6">
        <f t="shared" si="26"/>
        <v>20373.12</v>
      </c>
    </row>
    <row r="351" spans="2:10" x14ac:dyDescent="0.25">
      <c r="B351" s="1" t="s">
        <v>17</v>
      </c>
      <c r="C351" s="1" t="s">
        <v>28</v>
      </c>
      <c r="D351" s="5">
        <v>43479</v>
      </c>
      <c r="E351" s="5">
        <v>32734</v>
      </c>
      <c r="F351" s="1">
        <v>12036</v>
      </c>
      <c r="G351" s="6">
        <f t="shared" si="23"/>
        <v>3610.7999999999997</v>
      </c>
      <c r="H351" s="6">
        <f t="shared" si="24"/>
        <v>2407.2000000000003</v>
      </c>
      <c r="I351" s="6">
        <f t="shared" si="25"/>
        <v>1444.32</v>
      </c>
      <c r="J351" s="6">
        <f t="shared" si="26"/>
        <v>19498.32</v>
      </c>
    </row>
    <row r="352" spans="2:10" x14ac:dyDescent="0.25">
      <c r="B352" s="1" t="s">
        <v>17</v>
      </c>
      <c r="C352" s="1" t="s">
        <v>26</v>
      </c>
      <c r="D352" s="5">
        <v>44335</v>
      </c>
      <c r="E352" s="5">
        <v>34009</v>
      </c>
      <c r="F352" s="1">
        <v>11863</v>
      </c>
      <c r="G352" s="6">
        <f t="shared" si="23"/>
        <v>3558.9</v>
      </c>
      <c r="H352" s="6">
        <f t="shared" si="24"/>
        <v>2372.6</v>
      </c>
      <c r="I352" s="6">
        <f t="shared" si="25"/>
        <v>1423.56</v>
      </c>
      <c r="J352" s="6">
        <f t="shared" si="26"/>
        <v>19218.060000000001</v>
      </c>
    </row>
    <row r="353" spans="2:10" x14ac:dyDescent="0.25">
      <c r="B353" s="1" t="s">
        <v>17</v>
      </c>
      <c r="C353" s="1" t="s">
        <v>27</v>
      </c>
      <c r="D353" s="5">
        <v>43587</v>
      </c>
      <c r="E353" s="5">
        <v>33071</v>
      </c>
      <c r="F353" s="1">
        <v>11632</v>
      </c>
      <c r="G353" s="6">
        <f t="shared" si="23"/>
        <v>3489.6</v>
      </c>
      <c r="H353" s="6">
        <f t="shared" si="24"/>
        <v>2326.4</v>
      </c>
      <c r="I353" s="6">
        <f t="shared" si="25"/>
        <v>1395.84</v>
      </c>
      <c r="J353" s="6">
        <f t="shared" si="26"/>
        <v>18843.84</v>
      </c>
    </row>
    <row r="354" spans="2:10" x14ac:dyDescent="0.25">
      <c r="B354" s="1" t="s">
        <v>17</v>
      </c>
      <c r="C354" s="1" t="s">
        <v>21</v>
      </c>
      <c r="D354" s="5">
        <v>43453</v>
      </c>
      <c r="E354" s="5">
        <v>34074</v>
      </c>
      <c r="F354" s="1">
        <v>12237</v>
      </c>
      <c r="G354" s="6">
        <f t="shared" si="23"/>
        <v>3671.1</v>
      </c>
      <c r="H354" s="6">
        <f t="shared" si="24"/>
        <v>2447.4</v>
      </c>
      <c r="I354" s="6">
        <f t="shared" si="25"/>
        <v>1468.44</v>
      </c>
      <c r="J354" s="6">
        <f t="shared" si="26"/>
        <v>19823.939999999999</v>
      </c>
    </row>
    <row r="355" spans="2:10" x14ac:dyDescent="0.25">
      <c r="B355" s="1" t="s">
        <v>17</v>
      </c>
      <c r="C355" s="1" t="s">
        <v>34</v>
      </c>
      <c r="D355" s="5">
        <v>44662</v>
      </c>
      <c r="E355" s="5">
        <v>32718</v>
      </c>
      <c r="F355" s="1">
        <v>12985</v>
      </c>
      <c r="G355" s="6">
        <f t="shared" si="23"/>
        <v>3895.5</v>
      </c>
      <c r="H355" s="6">
        <f t="shared" si="24"/>
        <v>2597</v>
      </c>
      <c r="I355" s="6">
        <f t="shared" si="25"/>
        <v>1558.2</v>
      </c>
      <c r="J355" s="6">
        <f t="shared" si="26"/>
        <v>21035.7</v>
      </c>
    </row>
    <row r="356" spans="2:10" x14ac:dyDescent="0.25">
      <c r="B356" s="1" t="s">
        <v>17</v>
      </c>
      <c r="C356" s="1" t="s">
        <v>32</v>
      </c>
      <c r="D356" s="5">
        <v>44749</v>
      </c>
      <c r="E356" s="5">
        <v>35017</v>
      </c>
      <c r="F356" s="1">
        <v>12941</v>
      </c>
      <c r="G356" s="6">
        <f t="shared" si="23"/>
        <v>3882.2999999999997</v>
      </c>
      <c r="H356" s="6">
        <f t="shared" si="24"/>
        <v>2588.2000000000003</v>
      </c>
      <c r="I356" s="6">
        <f t="shared" si="25"/>
        <v>1552.9199999999998</v>
      </c>
      <c r="J356" s="6">
        <f t="shared" si="26"/>
        <v>20964.419999999998</v>
      </c>
    </row>
    <row r="357" spans="2:10" x14ac:dyDescent="0.25">
      <c r="B357" s="1" t="s">
        <v>17</v>
      </c>
      <c r="C357" s="1" t="s">
        <v>36</v>
      </c>
      <c r="D357" s="5">
        <v>44752</v>
      </c>
      <c r="E357" s="5">
        <v>32898</v>
      </c>
      <c r="F357" s="1">
        <v>11877</v>
      </c>
      <c r="G357" s="6">
        <f t="shared" si="23"/>
        <v>3563.1</v>
      </c>
      <c r="H357" s="6">
        <f t="shared" si="24"/>
        <v>2375.4</v>
      </c>
      <c r="I357" s="6">
        <f t="shared" si="25"/>
        <v>1425.24</v>
      </c>
      <c r="J357" s="6">
        <f t="shared" si="26"/>
        <v>19240.740000000002</v>
      </c>
    </row>
    <row r="358" spans="2:10" x14ac:dyDescent="0.25">
      <c r="B358" s="1" t="s">
        <v>17</v>
      </c>
      <c r="C358" s="1" t="s">
        <v>28</v>
      </c>
      <c r="D358" s="5">
        <v>44582</v>
      </c>
      <c r="E358" s="5">
        <v>33406</v>
      </c>
      <c r="F358" s="1">
        <v>11207</v>
      </c>
      <c r="G358" s="6">
        <f t="shared" si="23"/>
        <v>3362.1</v>
      </c>
      <c r="H358" s="6">
        <f t="shared" si="24"/>
        <v>2241.4</v>
      </c>
      <c r="I358" s="6">
        <f t="shared" si="25"/>
        <v>1344.84</v>
      </c>
      <c r="J358" s="6">
        <f t="shared" si="26"/>
        <v>18155.34</v>
      </c>
    </row>
    <row r="359" spans="2:10" x14ac:dyDescent="0.25">
      <c r="B359" s="1" t="s">
        <v>17</v>
      </c>
      <c r="C359" s="1" t="s">
        <v>31</v>
      </c>
      <c r="D359" s="5">
        <v>43646</v>
      </c>
      <c r="E359" s="5">
        <v>34586</v>
      </c>
      <c r="F359" s="1">
        <v>12796</v>
      </c>
      <c r="G359" s="6">
        <f t="shared" si="23"/>
        <v>3838.7999999999997</v>
      </c>
      <c r="H359" s="6">
        <f t="shared" si="24"/>
        <v>2559.2000000000003</v>
      </c>
      <c r="I359" s="6">
        <f t="shared" si="25"/>
        <v>1535.52</v>
      </c>
      <c r="J359" s="6">
        <f t="shared" si="26"/>
        <v>20729.52</v>
      </c>
    </row>
    <row r="360" spans="2:10" x14ac:dyDescent="0.25">
      <c r="B360" s="1" t="s">
        <v>17</v>
      </c>
      <c r="C360" s="1" t="s">
        <v>29</v>
      </c>
      <c r="D360" s="5">
        <v>43970</v>
      </c>
      <c r="E360" s="5">
        <v>34034</v>
      </c>
      <c r="F360" s="1">
        <v>11196</v>
      </c>
      <c r="G360" s="6">
        <f t="shared" si="23"/>
        <v>3358.7999999999997</v>
      </c>
      <c r="H360" s="6">
        <f t="shared" si="24"/>
        <v>2239.2000000000003</v>
      </c>
      <c r="I360" s="6">
        <f t="shared" si="25"/>
        <v>1343.52</v>
      </c>
      <c r="J360" s="6">
        <f t="shared" si="26"/>
        <v>18137.52</v>
      </c>
    </row>
    <row r="361" spans="2:10" x14ac:dyDescent="0.25">
      <c r="B361" s="1" t="s">
        <v>17</v>
      </c>
      <c r="C361" s="1" t="s">
        <v>30</v>
      </c>
      <c r="D361" s="5">
        <v>43514</v>
      </c>
      <c r="E361" s="5">
        <v>34142</v>
      </c>
      <c r="F361" s="1">
        <v>11104</v>
      </c>
      <c r="G361" s="6">
        <f t="shared" si="23"/>
        <v>3331.2</v>
      </c>
      <c r="H361" s="6">
        <f t="shared" si="24"/>
        <v>2220.8000000000002</v>
      </c>
      <c r="I361" s="6">
        <f t="shared" si="25"/>
        <v>1332.48</v>
      </c>
      <c r="J361" s="6">
        <f t="shared" si="26"/>
        <v>17988.48</v>
      </c>
    </row>
    <row r="362" spans="2:10" x14ac:dyDescent="0.25">
      <c r="B362" s="1" t="s">
        <v>17</v>
      </c>
      <c r="C362" s="1" t="s">
        <v>20</v>
      </c>
      <c r="D362" s="5">
        <v>43694</v>
      </c>
      <c r="E362" s="5">
        <v>33849</v>
      </c>
      <c r="F362" s="1">
        <v>11650</v>
      </c>
      <c r="G362" s="6">
        <f t="shared" si="23"/>
        <v>3495</v>
      </c>
      <c r="H362" s="6">
        <f t="shared" si="24"/>
        <v>2330</v>
      </c>
      <c r="I362" s="6">
        <f t="shared" si="25"/>
        <v>1398</v>
      </c>
      <c r="J362" s="6">
        <f t="shared" si="26"/>
        <v>18873</v>
      </c>
    </row>
    <row r="363" spans="2:10" x14ac:dyDescent="0.25">
      <c r="B363" s="1" t="s">
        <v>17</v>
      </c>
      <c r="C363" s="1" t="s">
        <v>28</v>
      </c>
      <c r="D363" s="5">
        <v>43222</v>
      </c>
      <c r="E363" s="5">
        <v>34695</v>
      </c>
      <c r="F363" s="1">
        <v>12284</v>
      </c>
      <c r="G363" s="6">
        <f t="shared" si="23"/>
        <v>3685.2</v>
      </c>
      <c r="H363" s="6">
        <f t="shared" si="24"/>
        <v>2456.8000000000002</v>
      </c>
      <c r="I363" s="6">
        <f t="shared" si="25"/>
        <v>1474.08</v>
      </c>
      <c r="J363" s="6">
        <f t="shared" si="26"/>
        <v>19900.080000000002</v>
      </c>
    </row>
    <row r="364" spans="2:10" x14ac:dyDescent="0.25">
      <c r="B364" s="1" t="s">
        <v>17</v>
      </c>
      <c r="C364" s="1" t="s">
        <v>25</v>
      </c>
      <c r="D364" s="5">
        <v>43391</v>
      </c>
      <c r="E364" s="5">
        <v>34664</v>
      </c>
      <c r="F364" s="1">
        <v>12110</v>
      </c>
      <c r="G364" s="6">
        <f t="shared" si="23"/>
        <v>3633</v>
      </c>
      <c r="H364" s="6">
        <f t="shared" si="24"/>
        <v>2422</v>
      </c>
      <c r="I364" s="6">
        <f t="shared" si="25"/>
        <v>1453.2</v>
      </c>
      <c r="J364" s="6">
        <f t="shared" si="26"/>
        <v>19618.2</v>
      </c>
    </row>
    <row r="365" spans="2:10" x14ac:dyDescent="0.25">
      <c r="B365" s="1" t="s">
        <v>17</v>
      </c>
      <c r="C365" s="1" t="s">
        <v>25</v>
      </c>
      <c r="D365" s="5">
        <v>44443</v>
      </c>
      <c r="E365" s="5">
        <v>34052</v>
      </c>
      <c r="F365" s="1">
        <v>12305</v>
      </c>
      <c r="G365" s="6">
        <f t="shared" si="23"/>
        <v>3691.5</v>
      </c>
      <c r="H365" s="6">
        <f t="shared" si="24"/>
        <v>2461</v>
      </c>
      <c r="I365" s="6">
        <f t="shared" si="25"/>
        <v>1476.6</v>
      </c>
      <c r="J365" s="6">
        <f t="shared" si="26"/>
        <v>19934.099999999999</v>
      </c>
    </row>
    <row r="366" spans="2:10" x14ac:dyDescent="0.25">
      <c r="B366" s="1" t="s">
        <v>17</v>
      </c>
      <c r="C366" s="1" t="s">
        <v>33</v>
      </c>
      <c r="D366" s="5">
        <v>43821</v>
      </c>
      <c r="E366" s="5">
        <v>32509</v>
      </c>
      <c r="F366" s="1">
        <v>11370</v>
      </c>
      <c r="G366" s="6">
        <f t="shared" si="23"/>
        <v>3411</v>
      </c>
      <c r="H366" s="6">
        <f t="shared" si="24"/>
        <v>2274</v>
      </c>
      <c r="I366" s="6">
        <f t="shared" si="25"/>
        <v>1364.3999999999999</v>
      </c>
      <c r="J366" s="6">
        <f t="shared" si="26"/>
        <v>18419.400000000001</v>
      </c>
    </row>
    <row r="367" spans="2:10" x14ac:dyDescent="0.25">
      <c r="B367" s="1" t="s">
        <v>17</v>
      </c>
      <c r="C367" s="1" t="s">
        <v>27</v>
      </c>
      <c r="D367" s="5">
        <v>44055</v>
      </c>
      <c r="E367" s="5">
        <v>32251</v>
      </c>
      <c r="F367" s="1">
        <v>11455</v>
      </c>
      <c r="G367" s="6">
        <f t="shared" si="23"/>
        <v>3436.5</v>
      </c>
      <c r="H367" s="6">
        <f t="shared" si="24"/>
        <v>2291</v>
      </c>
      <c r="I367" s="6">
        <f t="shared" si="25"/>
        <v>1374.6</v>
      </c>
      <c r="J367" s="6">
        <f t="shared" si="26"/>
        <v>18557.099999999999</v>
      </c>
    </row>
    <row r="368" spans="2:10" x14ac:dyDescent="0.25">
      <c r="B368" s="1" t="s">
        <v>17</v>
      </c>
      <c r="C368" s="1" t="s">
        <v>22</v>
      </c>
      <c r="D368" s="5">
        <v>43570</v>
      </c>
      <c r="E368" s="5">
        <v>33917</v>
      </c>
      <c r="F368" s="1">
        <v>12538</v>
      </c>
      <c r="G368" s="6">
        <f t="shared" si="23"/>
        <v>3761.3999999999996</v>
      </c>
      <c r="H368" s="6">
        <f t="shared" si="24"/>
        <v>2507.6000000000004</v>
      </c>
      <c r="I368" s="6">
        <f t="shared" si="25"/>
        <v>1504.56</v>
      </c>
      <c r="J368" s="6">
        <f t="shared" si="26"/>
        <v>20311.560000000001</v>
      </c>
    </row>
    <row r="369" spans="2:10" x14ac:dyDescent="0.25">
      <c r="B369" s="1" t="s">
        <v>17</v>
      </c>
      <c r="C369" s="1" t="s">
        <v>34</v>
      </c>
      <c r="D369" s="5">
        <v>44177</v>
      </c>
      <c r="E369" s="5">
        <v>32457</v>
      </c>
      <c r="F369" s="1">
        <v>11712</v>
      </c>
      <c r="G369" s="6">
        <f t="shared" si="23"/>
        <v>3513.6</v>
      </c>
      <c r="H369" s="6">
        <f t="shared" si="24"/>
        <v>2342.4</v>
      </c>
      <c r="I369" s="6">
        <f t="shared" si="25"/>
        <v>1405.44</v>
      </c>
      <c r="J369" s="6">
        <f t="shared" si="26"/>
        <v>18973.439999999999</v>
      </c>
    </row>
    <row r="370" spans="2:10" x14ac:dyDescent="0.25">
      <c r="B370" s="1" t="s">
        <v>17</v>
      </c>
      <c r="C370" s="1" t="s">
        <v>28</v>
      </c>
      <c r="D370" s="5">
        <v>44863</v>
      </c>
      <c r="E370" s="5">
        <v>34682</v>
      </c>
      <c r="F370" s="1">
        <v>11830</v>
      </c>
      <c r="G370" s="6">
        <f t="shared" si="23"/>
        <v>3549</v>
      </c>
      <c r="H370" s="6">
        <f t="shared" si="24"/>
        <v>2366</v>
      </c>
      <c r="I370" s="6">
        <f t="shared" si="25"/>
        <v>1419.6</v>
      </c>
      <c r="J370" s="6">
        <f t="shared" si="26"/>
        <v>19164.599999999999</v>
      </c>
    </row>
    <row r="371" spans="2:10" x14ac:dyDescent="0.25">
      <c r="B371" s="1" t="s">
        <v>17</v>
      </c>
      <c r="C371" s="1" t="s">
        <v>34</v>
      </c>
      <c r="D371" s="5">
        <v>43503</v>
      </c>
      <c r="E371" s="5">
        <v>32507</v>
      </c>
      <c r="F371" s="1">
        <v>12038</v>
      </c>
      <c r="G371" s="6">
        <f t="shared" si="23"/>
        <v>3611.4</v>
      </c>
      <c r="H371" s="6">
        <f t="shared" si="24"/>
        <v>2407.6</v>
      </c>
      <c r="I371" s="6">
        <f t="shared" si="25"/>
        <v>1444.56</v>
      </c>
      <c r="J371" s="6">
        <f t="shared" si="26"/>
        <v>19501.560000000001</v>
      </c>
    </row>
    <row r="372" spans="2:10" x14ac:dyDescent="0.25">
      <c r="B372" s="1" t="s">
        <v>17</v>
      </c>
      <c r="C372" s="1" t="s">
        <v>31</v>
      </c>
      <c r="D372" s="5">
        <v>44788</v>
      </c>
      <c r="E372" s="5">
        <v>34767</v>
      </c>
      <c r="F372" s="1">
        <v>11350</v>
      </c>
      <c r="G372" s="6">
        <f t="shared" si="23"/>
        <v>3405</v>
      </c>
      <c r="H372" s="6">
        <f t="shared" si="24"/>
        <v>2270</v>
      </c>
      <c r="I372" s="6">
        <f t="shared" si="25"/>
        <v>1362</v>
      </c>
      <c r="J372" s="6">
        <f t="shared" si="26"/>
        <v>18387</v>
      </c>
    </row>
    <row r="373" spans="2:10" x14ac:dyDescent="0.25">
      <c r="B373" s="1" t="s">
        <v>17</v>
      </c>
      <c r="C373" s="1" t="s">
        <v>31</v>
      </c>
      <c r="D373" s="5">
        <v>44067</v>
      </c>
      <c r="E373" s="5">
        <v>32858</v>
      </c>
      <c r="F373" s="1">
        <v>12647</v>
      </c>
      <c r="G373" s="6">
        <f t="shared" si="23"/>
        <v>3794.1</v>
      </c>
      <c r="H373" s="6">
        <f t="shared" si="24"/>
        <v>2529.4</v>
      </c>
      <c r="I373" s="6">
        <f t="shared" si="25"/>
        <v>1517.6399999999999</v>
      </c>
      <c r="J373" s="6">
        <f t="shared" si="26"/>
        <v>20488.14</v>
      </c>
    </row>
    <row r="374" spans="2:10" x14ac:dyDescent="0.25">
      <c r="B374" s="1" t="s">
        <v>17</v>
      </c>
      <c r="C374" s="1" t="s">
        <v>20</v>
      </c>
      <c r="D374" s="5">
        <v>44768</v>
      </c>
      <c r="E374" s="5">
        <v>33446</v>
      </c>
      <c r="F374" s="1">
        <v>11729</v>
      </c>
      <c r="G374" s="6">
        <f t="shared" si="23"/>
        <v>3518.7</v>
      </c>
      <c r="H374" s="6">
        <f t="shared" si="24"/>
        <v>2345.8000000000002</v>
      </c>
      <c r="I374" s="6">
        <f t="shared" si="25"/>
        <v>1407.48</v>
      </c>
      <c r="J374" s="6">
        <f t="shared" si="26"/>
        <v>19000.98</v>
      </c>
    </row>
    <row r="375" spans="2:10" x14ac:dyDescent="0.25">
      <c r="B375" s="1" t="s">
        <v>17</v>
      </c>
      <c r="C375" s="1" t="s">
        <v>24</v>
      </c>
      <c r="D375" s="5">
        <v>43287</v>
      </c>
      <c r="E375" s="5">
        <v>32856</v>
      </c>
      <c r="F375" s="1">
        <v>11049</v>
      </c>
      <c r="G375" s="6">
        <f t="shared" si="23"/>
        <v>3314.7</v>
      </c>
      <c r="H375" s="6">
        <f t="shared" si="24"/>
        <v>2209.8000000000002</v>
      </c>
      <c r="I375" s="6">
        <f t="shared" si="25"/>
        <v>1325.8799999999999</v>
      </c>
      <c r="J375" s="6">
        <f t="shared" si="26"/>
        <v>17899.38</v>
      </c>
    </row>
    <row r="376" spans="2:10" x14ac:dyDescent="0.25">
      <c r="B376" s="1" t="s">
        <v>17</v>
      </c>
      <c r="C376" s="1" t="s">
        <v>35</v>
      </c>
      <c r="D376" s="5">
        <v>43928</v>
      </c>
      <c r="E376" s="5">
        <v>34766</v>
      </c>
      <c r="F376" s="1">
        <v>11682</v>
      </c>
      <c r="G376" s="6">
        <f t="shared" si="23"/>
        <v>3504.6</v>
      </c>
      <c r="H376" s="6">
        <f t="shared" si="24"/>
        <v>2336.4</v>
      </c>
      <c r="I376" s="6">
        <f t="shared" si="25"/>
        <v>1401.84</v>
      </c>
      <c r="J376" s="6">
        <f t="shared" si="26"/>
        <v>18924.84</v>
      </c>
    </row>
    <row r="377" spans="2:10" x14ac:dyDescent="0.25">
      <c r="B377" s="1" t="s">
        <v>17</v>
      </c>
      <c r="C377" s="1" t="s">
        <v>21</v>
      </c>
      <c r="D377" s="5">
        <v>43123</v>
      </c>
      <c r="E377" s="5">
        <v>34941</v>
      </c>
      <c r="F377" s="1">
        <v>11287</v>
      </c>
      <c r="G377" s="6">
        <f t="shared" si="23"/>
        <v>3386.1</v>
      </c>
      <c r="H377" s="6">
        <f t="shared" si="24"/>
        <v>2257.4</v>
      </c>
      <c r="I377" s="6">
        <f t="shared" si="25"/>
        <v>1354.44</v>
      </c>
      <c r="J377" s="6">
        <f t="shared" si="26"/>
        <v>18284.939999999999</v>
      </c>
    </row>
    <row r="378" spans="2:10" x14ac:dyDescent="0.25">
      <c r="B378" s="1" t="s">
        <v>17</v>
      </c>
      <c r="C378" s="1" t="s">
        <v>35</v>
      </c>
      <c r="D378" s="5">
        <v>44039</v>
      </c>
      <c r="E378" s="5">
        <v>32818</v>
      </c>
      <c r="F378" s="1">
        <v>11506</v>
      </c>
      <c r="G378" s="6">
        <f t="shared" si="23"/>
        <v>3451.7999999999997</v>
      </c>
      <c r="H378" s="6">
        <f t="shared" si="24"/>
        <v>2301.2000000000003</v>
      </c>
      <c r="I378" s="6">
        <f t="shared" si="25"/>
        <v>1380.72</v>
      </c>
      <c r="J378" s="6">
        <f t="shared" si="26"/>
        <v>18639.72</v>
      </c>
    </row>
    <row r="379" spans="2:10" x14ac:dyDescent="0.25">
      <c r="B379" s="1" t="s">
        <v>17</v>
      </c>
      <c r="C379" s="1" t="s">
        <v>38</v>
      </c>
      <c r="D379" s="5">
        <v>43376</v>
      </c>
      <c r="E379" s="5">
        <v>32517</v>
      </c>
      <c r="F379" s="1">
        <v>11475</v>
      </c>
      <c r="G379" s="6">
        <f t="shared" si="23"/>
        <v>3442.5</v>
      </c>
      <c r="H379" s="6">
        <f t="shared" si="24"/>
        <v>2295</v>
      </c>
      <c r="I379" s="6">
        <f t="shared" si="25"/>
        <v>1377</v>
      </c>
      <c r="J379" s="6">
        <f t="shared" si="26"/>
        <v>18589.5</v>
      </c>
    </row>
    <row r="380" spans="2:10" x14ac:dyDescent="0.25">
      <c r="B380" s="1" t="s">
        <v>17</v>
      </c>
      <c r="C380" s="1" t="s">
        <v>20</v>
      </c>
      <c r="D380" s="5">
        <v>44641</v>
      </c>
      <c r="E380" s="5">
        <v>34034</v>
      </c>
      <c r="F380" s="1">
        <v>11079</v>
      </c>
      <c r="G380" s="6">
        <f t="shared" si="23"/>
        <v>3323.7</v>
      </c>
      <c r="H380" s="6">
        <f t="shared" si="24"/>
        <v>2215.8000000000002</v>
      </c>
      <c r="I380" s="6">
        <f t="shared" si="25"/>
        <v>1329.48</v>
      </c>
      <c r="J380" s="6">
        <f t="shared" si="26"/>
        <v>17947.98</v>
      </c>
    </row>
    <row r="381" spans="2:10" x14ac:dyDescent="0.25">
      <c r="B381" s="1" t="s">
        <v>17</v>
      </c>
      <c r="C381" s="1" t="s">
        <v>38</v>
      </c>
      <c r="D381" s="5">
        <v>43396</v>
      </c>
      <c r="E381" s="5">
        <v>34770</v>
      </c>
      <c r="F381" s="1">
        <v>12313</v>
      </c>
      <c r="G381" s="6">
        <f t="shared" si="23"/>
        <v>3693.8999999999996</v>
      </c>
      <c r="H381" s="6">
        <f t="shared" si="24"/>
        <v>2462.6000000000004</v>
      </c>
      <c r="I381" s="6">
        <f t="shared" si="25"/>
        <v>1477.56</v>
      </c>
      <c r="J381" s="6">
        <f t="shared" si="26"/>
        <v>19947.060000000001</v>
      </c>
    </row>
    <row r="382" spans="2:10" x14ac:dyDescent="0.25">
      <c r="B382" s="1" t="s">
        <v>17</v>
      </c>
      <c r="C382" s="1" t="s">
        <v>33</v>
      </c>
      <c r="D382" s="5">
        <v>44192</v>
      </c>
      <c r="E382" s="5">
        <v>32985</v>
      </c>
      <c r="F382" s="1">
        <v>11772</v>
      </c>
      <c r="G382" s="6">
        <f t="shared" si="23"/>
        <v>3531.6</v>
      </c>
      <c r="H382" s="6">
        <f t="shared" si="24"/>
        <v>2354.4</v>
      </c>
      <c r="I382" s="6">
        <f t="shared" si="25"/>
        <v>1412.6399999999999</v>
      </c>
      <c r="J382" s="6">
        <f t="shared" si="26"/>
        <v>19070.64</v>
      </c>
    </row>
    <row r="383" spans="2:10" x14ac:dyDescent="0.25">
      <c r="B383" s="1" t="s">
        <v>17</v>
      </c>
      <c r="C383" s="1" t="s">
        <v>36</v>
      </c>
      <c r="D383" s="5">
        <v>44421</v>
      </c>
      <c r="E383" s="5">
        <v>33563</v>
      </c>
      <c r="F383" s="1">
        <v>11872</v>
      </c>
      <c r="G383" s="6">
        <f t="shared" si="23"/>
        <v>3561.6</v>
      </c>
      <c r="H383" s="6">
        <f t="shared" si="24"/>
        <v>2374.4</v>
      </c>
      <c r="I383" s="6">
        <f t="shared" si="25"/>
        <v>1424.6399999999999</v>
      </c>
      <c r="J383" s="6">
        <f t="shared" si="26"/>
        <v>19232.64</v>
      </c>
    </row>
    <row r="384" spans="2:10" x14ac:dyDescent="0.25">
      <c r="B384" s="1" t="s">
        <v>17</v>
      </c>
      <c r="C384" s="1" t="s">
        <v>38</v>
      </c>
      <c r="D384" s="5">
        <v>43597</v>
      </c>
      <c r="E384" s="5">
        <v>32940</v>
      </c>
      <c r="F384" s="1">
        <v>12409</v>
      </c>
      <c r="G384" s="6">
        <f t="shared" si="23"/>
        <v>3722.7</v>
      </c>
      <c r="H384" s="6">
        <f t="shared" si="24"/>
        <v>2481.8000000000002</v>
      </c>
      <c r="I384" s="6">
        <f t="shared" si="25"/>
        <v>1489.08</v>
      </c>
      <c r="J384" s="6">
        <f t="shared" si="26"/>
        <v>20102.580000000002</v>
      </c>
    </row>
    <row r="385" spans="2:10" x14ac:dyDescent="0.25">
      <c r="B385" s="1" t="s">
        <v>17</v>
      </c>
      <c r="C385" s="1" t="s">
        <v>31</v>
      </c>
      <c r="D385" s="5">
        <v>44432</v>
      </c>
      <c r="E385" s="5">
        <v>33487</v>
      </c>
      <c r="F385" s="1">
        <v>11333</v>
      </c>
      <c r="G385" s="6">
        <f t="shared" si="23"/>
        <v>3399.9</v>
      </c>
      <c r="H385" s="6">
        <f t="shared" si="24"/>
        <v>2266.6</v>
      </c>
      <c r="I385" s="6">
        <f t="shared" si="25"/>
        <v>1359.96</v>
      </c>
      <c r="J385" s="6">
        <f t="shared" si="26"/>
        <v>18359.46</v>
      </c>
    </row>
    <row r="386" spans="2:10" x14ac:dyDescent="0.25">
      <c r="B386" s="1" t="s">
        <v>17</v>
      </c>
      <c r="C386" s="1" t="s">
        <v>30</v>
      </c>
      <c r="D386" s="5">
        <v>43626</v>
      </c>
      <c r="E386" s="5">
        <v>33923</v>
      </c>
      <c r="F386" s="1">
        <v>12339</v>
      </c>
      <c r="G386" s="6">
        <f t="shared" si="23"/>
        <v>3701.7</v>
      </c>
      <c r="H386" s="6">
        <f t="shared" si="24"/>
        <v>2467.8000000000002</v>
      </c>
      <c r="I386" s="6">
        <f t="shared" si="25"/>
        <v>1480.6799999999998</v>
      </c>
      <c r="J386" s="6">
        <f t="shared" si="26"/>
        <v>19989.18</v>
      </c>
    </row>
    <row r="387" spans="2:10" x14ac:dyDescent="0.25">
      <c r="B387" s="1" t="s">
        <v>17</v>
      </c>
      <c r="C387" s="1" t="s">
        <v>22</v>
      </c>
      <c r="D387" s="5">
        <v>43149</v>
      </c>
      <c r="E387" s="5">
        <v>34444</v>
      </c>
      <c r="F387" s="1">
        <v>12896</v>
      </c>
      <c r="G387" s="6">
        <f t="shared" si="23"/>
        <v>3868.7999999999997</v>
      </c>
      <c r="H387" s="6">
        <f t="shared" si="24"/>
        <v>2579.2000000000003</v>
      </c>
      <c r="I387" s="6">
        <f t="shared" si="25"/>
        <v>1547.52</v>
      </c>
      <c r="J387" s="6">
        <f t="shared" si="26"/>
        <v>20891.52</v>
      </c>
    </row>
    <row r="388" spans="2:10" x14ac:dyDescent="0.25">
      <c r="B388" s="1" t="s">
        <v>17</v>
      </c>
      <c r="C388" s="1" t="s">
        <v>34</v>
      </c>
      <c r="D388" s="5">
        <v>43737</v>
      </c>
      <c r="E388" s="5">
        <v>34567</v>
      </c>
      <c r="F388" s="1">
        <v>11375</v>
      </c>
      <c r="G388" s="6">
        <f t="shared" si="23"/>
        <v>3412.5</v>
      </c>
      <c r="H388" s="6">
        <f t="shared" si="24"/>
        <v>2275</v>
      </c>
      <c r="I388" s="6">
        <f t="shared" si="25"/>
        <v>1365</v>
      </c>
      <c r="J388" s="6">
        <f t="shared" si="26"/>
        <v>18427.5</v>
      </c>
    </row>
    <row r="389" spans="2:10" x14ac:dyDescent="0.25">
      <c r="B389" s="1" t="s">
        <v>17</v>
      </c>
      <c r="C389" s="1" t="s">
        <v>33</v>
      </c>
      <c r="D389" s="5">
        <v>44292</v>
      </c>
      <c r="E389" s="5">
        <v>32583</v>
      </c>
      <c r="F389" s="1">
        <v>11295</v>
      </c>
      <c r="G389" s="6">
        <f t="shared" si="23"/>
        <v>3388.5</v>
      </c>
      <c r="H389" s="6">
        <f t="shared" si="24"/>
        <v>2259</v>
      </c>
      <c r="I389" s="6">
        <f t="shared" si="25"/>
        <v>1355.3999999999999</v>
      </c>
      <c r="J389" s="6">
        <f t="shared" si="26"/>
        <v>18297.900000000001</v>
      </c>
    </row>
    <row r="390" spans="2:10" x14ac:dyDescent="0.25">
      <c r="B390" s="1" t="s">
        <v>17</v>
      </c>
      <c r="C390" s="1" t="s">
        <v>20</v>
      </c>
      <c r="D390" s="5">
        <v>43711</v>
      </c>
      <c r="E390" s="5">
        <v>33155</v>
      </c>
      <c r="F390" s="1">
        <v>11356</v>
      </c>
      <c r="G390" s="6">
        <f t="shared" si="23"/>
        <v>3406.7999999999997</v>
      </c>
      <c r="H390" s="6">
        <f t="shared" si="24"/>
        <v>2271.2000000000003</v>
      </c>
      <c r="I390" s="6">
        <f t="shared" si="25"/>
        <v>1362.72</v>
      </c>
      <c r="J390" s="6">
        <f t="shared" si="26"/>
        <v>18396.72</v>
      </c>
    </row>
    <row r="391" spans="2:10" x14ac:dyDescent="0.25">
      <c r="B391" s="1" t="s">
        <v>17</v>
      </c>
      <c r="C391" s="1" t="s">
        <v>25</v>
      </c>
      <c r="D391" s="5">
        <v>43915</v>
      </c>
      <c r="E391" s="5">
        <v>33491</v>
      </c>
      <c r="F391" s="1">
        <v>12207</v>
      </c>
      <c r="G391" s="6">
        <f t="shared" ref="G391:G454" si="27">F391*0.3</f>
        <v>3662.1</v>
      </c>
      <c r="H391" s="6">
        <f t="shared" si="24"/>
        <v>2441.4</v>
      </c>
      <c r="I391" s="6">
        <f t="shared" si="25"/>
        <v>1464.84</v>
      </c>
      <c r="J391" s="6">
        <f t="shared" si="26"/>
        <v>19775.34</v>
      </c>
    </row>
    <row r="392" spans="2:10" x14ac:dyDescent="0.25">
      <c r="B392" s="1" t="s">
        <v>18</v>
      </c>
      <c r="C392" s="1" t="s">
        <v>27</v>
      </c>
      <c r="D392" s="5">
        <v>44416</v>
      </c>
      <c r="E392" s="5">
        <v>32191</v>
      </c>
      <c r="F392" s="1">
        <v>21573</v>
      </c>
      <c r="G392" s="6">
        <f t="shared" si="27"/>
        <v>6471.9</v>
      </c>
      <c r="H392" s="6">
        <f t="shared" si="24"/>
        <v>4314.6000000000004</v>
      </c>
      <c r="I392" s="6">
        <f t="shared" si="25"/>
        <v>2588.7599999999998</v>
      </c>
      <c r="J392" s="6">
        <f t="shared" si="26"/>
        <v>34948.26</v>
      </c>
    </row>
    <row r="393" spans="2:10" x14ac:dyDescent="0.25">
      <c r="B393" s="1" t="s">
        <v>18</v>
      </c>
      <c r="C393" s="1" t="s">
        <v>28</v>
      </c>
      <c r="D393" s="5">
        <v>43726</v>
      </c>
      <c r="E393" s="5">
        <v>32419</v>
      </c>
      <c r="F393" s="1">
        <v>24064</v>
      </c>
      <c r="G393" s="6">
        <f t="shared" si="27"/>
        <v>7219.2</v>
      </c>
      <c r="H393" s="6">
        <f t="shared" si="24"/>
        <v>4812.8</v>
      </c>
      <c r="I393" s="6">
        <f t="shared" si="25"/>
        <v>2887.68</v>
      </c>
      <c r="J393" s="6">
        <f t="shared" si="26"/>
        <v>38983.68</v>
      </c>
    </row>
    <row r="394" spans="2:10" x14ac:dyDescent="0.25">
      <c r="B394" s="1" t="s">
        <v>18</v>
      </c>
      <c r="C394" s="1" t="s">
        <v>23</v>
      </c>
      <c r="D394" s="5">
        <v>44649</v>
      </c>
      <c r="E394" s="5">
        <v>33335</v>
      </c>
      <c r="F394" s="1">
        <v>24986</v>
      </c>
      <c r="G394" s="6">
        <f t="shared" si="27"/>
        <v>7495.7999999999993</v>
      </c>
      <c r="H394" s="6">
        <f t="shared" si="24"/>
        <v>4997.2000000000007</v>
      </c>
      <c r="I394" s="6">
        <f t="shared" si="25"/>
        <v>2998.3199999999997</v>
      </c>
      <c r="J394" s="6">
        <f t="shared" si="26"/>
        <v>40477.32</v>
      </c>
    </row>
    <row r="395" spans="2:10" x14ac:dyDescent="0.25">
      <c r="B395" s="1" t="s">
        <v>18</v>
      </c>
      <c r="C395" s="1" t="s">
        <v>32</v>
      </c>
      <c r="D395" s="5">
        <v>43685</v>
      </c>
      <c r="E395" s="5">
        <v>32886</v>
      </c>
      <c r="F395" s="1">
        <v>22351</v>
      </c>
      <c r="G395" s="6">
        <f t="shared" si="27"/>
        <v>6705.3</v>
      </c>
      <c r="H395" s="6">
        <f t="shared" si="24"/>
        <v>4470.2</v>
      </c>
      <c r="I395" s="6">
        <f t="shared" si="25"/>
        <v>2682.12</v>
      </c>
      <c r="J395" s="6">
        <f t="shared" si="26"/>
        <v>36208.620000000003</v>
      </c>
    </row>
    <row r="396" spans="2:10" x14ac:dyDescent="0.25">
      <c r="B396" s="1" t="s">
        <v>18</v>
      </c>
      <c r="C396" s="1" t="s">
        <v>21</v>
      </c>
      <c r="D396" s="5">
        <v>44025</v>
      </c>
      <c r="E396" s="5">
        <v>32795</v>
      </c>
      <c r="F396" s="1">
        <v>20157</v>
      </c>
      <c r="G396" s="6">
        <f t="shared" si="27"/>
        <v>6047.0999999999995</v>
      </c>
      <c r="H396" s="6">
        <f t="shared" si="24"/>
        <v>4031.4</v>
      </c>
      <c r="I396" s="6">
        <f t="shared" si="25"/>
        <v>2418.8399999999997</v>
      </c>
      <c r="J396" s="6">
        <f t="shared" si="26"/>
        <v>32654.34</v>
      </c>
    </row>
    <row r="397" spans="2:10" x14ac:dyDescent="0.25">
      <c r="B397" s="1" t="s">
        <v>18</v>
      </c>
      <c r="C397" s="1" t="s">
        <v>0</v>
      </c>
      <c r="D397" s="5">
        <v>44062</v>
      </c>
      <c r="E397" s="5">
        <v>33289</v>
      </c>
      <c r="F397" s="1">
        <v>20468</v>
      </c>
      <c r="G397" s="6">
        <f t="shared" si="27"/>
        <v>6140.4</v>
      </c>
      <c r="H397" s="6">
        <f t="shared" ref="H397:H460" si="28">F397*20%</f>
        <v>4093.6000000000004</v>
      </c>
      <c r="I397" s="6">
        <f t="shared" ref="I397:I460" si="29">F397*12%</f>
        <v>2456.16</v>
      </c>
      <c r="J397" s="6">
        <f t="shared" ref="J397:J460" si="30">SUM(F397:I397)</f>
        <v>33158.160000000003</v>
      </c>
    </row>
    <row r="398" spans="2:10" x14ac:dyDescent="0.25">
      <c r="B398" s="1" t="s">
        <v>18</v>
      </c>
      <c r="C398" s="1" t="s">
        <v>33</v>
      </c>
      <c r="D398" s="5">
        <v>44465</v>
      </c>
      <c r="E398" s="5">
        <v>33600</v>
      </c>
      <c r="F398" s="1">
        <v>18024</v>
      </c>
      <c r="G398" s="6">
        <f t="shared" si="27"/>
        <v>5407.2</v>
      </c>
      <c r="H398" s="6">
        <f t="shared" si="28"/>
        <v>3604.8</v>
      </c>
      <c r="I398" s="6">
        <f t="shared" si="29"/>
        <v>2162.88</v>
      </c>
      <c r="J398" s="6">
        <f t="shared" si="30"/>
        <v>29198.880000000001</v>
      </c>
    </row>
    <row r="399" spans="2:10" x14ac:dyDescent="0.25">
      <c r="B399" s="1" t="s">
        <v>18</v>
      </c>
      <c r="C399" s="1" t="s">
        <v>0</v>
      </c>
      <c r="D399" s="5">
        <v>43116</v>
      </c>
      <c r="E399" s="5">
        <v>33790</v>
      </c>
      <c r="F399" s="1">
        <v>23983</v>
      </c>
      <c r="G399" s="6">
        <f t="shared" si="27"/>
        <v>7194.9</v>
      </c>
      <c r="H399" s="6">
        <f t="shared" si="28"/>
        <v>4796.6000000000004</v>
      </c>
      <c r="I399" s="6">
        <f t="shared" si="29"/>
        <v>2877.96</v>
      </c>
      <c r="J399" s="6">
        <f t="shared" si="30"/>
        <v>38852.46</v>
      </c>
    </row>
    <row r="400" spans="2:10" x14ac:dyDescent="0.25">
      <c r="B400" s="1" t="s">
        <v>18</v>
      </c>
      <c r="C400" s="1" t="s">
        <v>31</v>
      </c>
      <c r="D400" s="5">
        <v>44183</v>
      </c>
      <c r="E400" s="5">
        <v>33576</v>
      </c>
      <c r="F400" s="1">
        <v>19287</v>
      </c>
      <c r="G400" s="6">
        <f t="shared" si="27"/>
        <v>5786.0999999999995</v>
      </c>
      <c r="H400" s="6">
        <f t="shared" si="28"/>
        <v>3857.4</v>
      </c>
      <c r="I400" s="6">
        <f t="shared" si="29"/>
        <v>2314.44</v>
      </c>
      <c r="J400" s="6">
        <f t="shared" si="30"/>
        <v>31244.94</v>
      </c>
    </row>
    <row r="401" spans="2:10" x14ac:dyDescent="0.25">
      <c r="B401" s="1" t="s">
        <v>18</v>
      </c>
      <c r="C401" s="1" t="s">
        <v>31</v>
      </c>
      <c r="D401" s="5">
        <v>43350</v>
      </c>
      <c r="E401" s="5">
        <v>34124</v>
      </c>
      <c r="F401" s="1">
        <v>19391</v>
      </c>
      <c r="G401" s="6">
        <f t="shared" si="27"/>
        <v>5817.3</v>
      </c>
      <c r="H401" s="6">
        <f t="shared" si="28"/>
        <v>3878.2000000000003</v>
      </c>
      <c r="I401" s="6">
        <f t="shared" si="29"/>
        <v>2326.92</v>
      </c>
      <c r="J401" s="6">
        <f t="shared" si="30"/>
        <v>31413.42</v>
      </c>
    </row>
    <row r="402" spans="2:10" x14ac:dyDescent="0.25">
      <c r="B402" s="1" t="s">
        <v>18</v>
      </c>
      <c r="C402" s="1" t="s">
        <v>20</v>
      </c>
      <c r="D402" s="5">
        <v>44440</v>
      </c>
      <c r="E402" s="5">
        <v>34758</v>
      </c>
      <c r="F402" s="1">
        <v>24739</v>
      </c>
      <c r="G402" s="6">
        <f t="shared" si="27"/>
        <v>7421.7</v>
      </c>
      <c r="H402" s="6">
        <f t="shared" si="28"/>
        <v>4947.8</v>
      </c>
      <c r="I402" s="6">
        <f t="shared" si="29"/>
        <v>2968.68</v>
      </c>
      <c r="J402" s="6">
        <f t="shared" si="30"/>
        <v>40077.18</v>
      </c>
    </row>
    <row r="403" spans="2:10" x14ac:dyDescent="0.25">
      <c r="B403" s="1" t="s">
        <v>18</v>
      </c>
      <c r="C403" s="1" t="s">
        <v>31</v>
      </c>
      <c r="D403" s="5">
        <v>44042</v>
      </c>
      <c r="E403" s="5">
        <v>32547</v>
      </c>
      <c r="F403" s="1">
        <v>23924</v>
      </c>
      <c r="G403" s="6">
        <f t="shared" si="27"/>
        <v>7177.2</v>
      </c>
      <c r="H403" s="6">
        <f t="shared" si="28"/>
        <v>4784.8</v>
      </c>
      <c r="I403" s="6">
        <f t="shared" si="29"/>
        <v>2870.88</v>
      </c>
      <c r="J403" s="6">
        <f t="shared" si="30"/>
        <v>38756.879999999997</v>
      </c>
    </row>
    <row r="404" spans="2:10" x14ac:dyDescent="0.25">
      <c r="B404" s="1" t="s">
        <v>18</v>
      </c>
      <c r="C404" s="1" t="s">
        <v>22</v>
      </c>
      <c r="D404" s="5">
        <v>44573</v>
      </c>
      <c r="E404" s="5">
        <v>35010</v>
      </c>
      <c r="F404" s="1">
        <v>18501</v>
      </c>
      <c r="G404" s="6">
        <f t="shared" si="27"/>
        <v>5550.3</v>
      </c>
      <c r="H404" s="6">
        <f t="shared" si="28"/>
        <v>3700.2000000000003</v>
      </c>
      <c r="I404" s="6">
        <f t="shared" si="29"/>
        <v>2220.12</v>
      </c>
      <c r="J404" s="6">
        <f t="shared" si="30"/>
        <v>29971.62</v>
      </c>
    </row>
    <row r="405" spans="2:10" x14ac:dyDescent="0.25">
      <c r="B405" s="1" t="s">
        <v>18</v>
      </c>
      <c r="C405" s="1" t="s">
        <v>31</v>
      </c>
      <c r="D405" s="5">
        <v>43132</v>
      </c>
      <c r="E405" s="5">
        <v>32507</v>
      </c>
      <c r="F405" s="1">
        <v>18707</v>
      </c>
      <c r="G405" s="6">
        <f t="shared" si="27"/>
        <v>5612.0999999999995</v>
      </c>
      <c r="H405" s="6">
        <f t="shared" si="28"/>
        <v>3741.4</v>
      </c>
      <c r="I405" s="6">
        <f t="shared" si="29"/>
        <v>2244.8399999999997</v>
      </c>
      <c r="J405" s="6">
        <f t="shared" si="30"/>
        <v>30305.34</v>
      </c>
    </row>
    <row r="406" spans="2:10" x14ac:dyDescent="0.25">
      <c r="B406" s="1" t="s">
        <v>18</v>
      </c>
      <c r="C406" s="1" t="s">
        <v>32</v>
      </c>
      <c r="D406" s="5">
        <v>43691</v>
      </c>
      <c r="E406" s="5">
        <v>32455</v>
      </c>
      <c r="F406" s="1">
        <v>19040</v>
      </c>
      <c r="G406" s="6">
        <f t="shared" si="27"/>
        <v>5712</v>
      </c>
      <c r="H406" s="6">
        <f t="shared" si="28"/>
        <v>3808</v>
      </c>
      <c r="I406" s="6">
        <f t="shared" si="29"/>
        <v>2284.7999999999997</v>
      </c>
      <c r="J406" s="6">
        <f t="shared" si="30"/>
        <v>30844.799999999999</v>
      </c>
    </row>
    <row r="407" spans="2:10" x14ac:dyDescent="0.25">
      <c r="B407" s="1" t="s">
        <v>18</v>
      </c>
      <c r="C407" s="1" t="s">
        <v>21</v>
      </c>
      <c r="D407" s="5">
        <v>44319</v>
      </c>
      <c r="E407" s="5">
        <v>34087</v>
      </c>
      <c r="F407" s="1">
        <v>21360</v>
      </c>
      <c r="G407" s="6">
        <f t="shared" si="27"/>
        <v>6408</v>
      </c>
      <c r="H407" s="6">
        <f t="shared" si="28"/>
        <v>4272</v>
      </c>
      <c r="I407" s="6">
        <f t="shared" si="29"/>
        <v>2563.1999999999998</v>
      </c>
      <c r="J407" s="6">
        <f t="shared" si="30"/>
        <v>34603.199999999997</v>
      </c>
    </row>
    <row r="408" spans="2:10" x14ac:dyDescent="0.25">
      <c r="B408" s="1" t="s">
        <v>18</v>
      </c>
      <c r="C408" s="1" t="s">
        <v>29</v>
      </c>
      <c r="D408" s="5">
        <v>43636</v>
      </c>
      <c r="E408" s="5">
        <v>34719</v>
      </c>
      <c r="F408" s="1">
        <v>20754</v>
      </c>
      <c r="G408" s="6">
        <f t="shared" si="27"/>
        <v>6226.2</v>
      </c>
      <c r="H408" s="6">
        <f t="shared" si="28"/>
        <v>4150.8</v>
      </c>
      <c r="I408" s="6">
        <f t="shared" si="29"/>
        <v>2490.48</v>
      </c>
      <c r="J408" s="6">
        <f t="shared" si="30"/>
        <v>33621.480000000003</v>
      </c>
    </row>
    <row r="409" spans="2:10" x14ac:dyDescent="0.25">
      <c r="B409" s="1" t="s">
        <v>18</v>
      </c>
      <c r="C409" s="1" t="s">
        <v>38</v>
      </c>
      <c r="D409" s="5">
        <v>43803</v>
      </c>
      <c r="E409" s="5">
        <v>32298</v>
      </c>
      <c r="F409" s="1">
        <v>21919</v>
      </c>
      <c r="G409" s="6">
        <f t="shared" si="27"/>
        <v>6575.7</v>
      </c>
      <c r="H409" s="6">
        <f t="shared" si="28"/>
        <v>4383.8</v>
      </c>
      <c r="I409" s="6">
        <f t="shared" si="29"/>
        <v>2630.2799999999997</v>
      </c>
      <c r="J409" s="6">
        <f t="shared" si="30"/>
        <v>35508.78</v>
      </c>
    </row>
    <row r="410" spans="2:10" x14ac:dyDescent="0.25">
      <c r="B410" s="1" t="s">
        <v>18</v>
      </c>
      <c r="C410" s="1" t="s">
        <v>33</v>
      </c>
      <c r="D410" s="5">
        <v>43766</v>
      </c>
      <c r="E410" s="5">
        <v>32356</v>
      </c>
      <c r="F410" s="1">
        <v>22028</v>
      </c>
      <c r="G410" s="6">
        <f t="shared" si="27"/>
        <v>6608.4</v>
      </c>
      <c r="H410" s="6">
        <f t="shared" si="28"/>
        <v>4405.6000000000004</v>
      </c>
      <c r="I410" s="6">
        <f t="shared" si="29"/>
        <v>2643.36</v>
      </c>
      <c r="J410" s="6">
        <f t="shared" si="30"/>
        <v>35685.360000000001</v>
      </c>
    </row>
    <row r="411" spans="2:10" x14ac:dyDescent="0.25">
      <c r="B411" s="1" t="s">
        <v>18</v>
      </c>
      <c r="C411" s="1" t="s">
        <v>27</v>
      </c>
      <c r="D411" s="5">
        <v>44505</v>
      </c>
      <c r="E411" s="5">
        <v>32932</v>
      </c>
      <c r="F411" s="1">
        <v>20454</v>
      </c>
      <c r="G411" s="6">
        <f t="shared" si="27"/>
        <v>6136.2</v>
      </c>
      <c r="H411" s="6">
        <f t="shared" si="28"/>
        <v>4090.8</v>
      </c>
      <c r="I411" s="6">
        <f t="shared" si="29"/>
        <v>2454.48</v>
      </c>
      <c r="J411" s="6">
        <f t="shared" si="30"/>
        <v>33135.480000000003</v>
      </c>
    </row>
    <row r="412" spans="2:10" x14ac:dyDescent="0.25">
      <c r="B412" s="1" t="s">
        <v>18</v>
      </c>
      <c r="C412" s="1" t="s">
        <v>27</v>
      </c>
      <c r="D412" s="5">
        <v>43414</v>
      </c>
      <c r="E412" s="5">
        <v>33855</v>
      </c>
      <c r="F412" s="1">
        <v>20901</v>
      </c>
      <c r="G412" s="6">
        <f t="shared" si="27"/>
        <v>6270.3</v>
      </c>
      <c r="H412" s="6">
        <f t="shared" si="28"/>
        <v>4180.2</v>
      </c>
      <c r="I412" s="6">
        <f t="shared" si="29"/>
        <v>2508.12</v>
      </c>
      <c r="J412" s="6">
        <f t="shared" si="30"/>
        <v>33859.620000000003</v>
      </c>
    </row>
    <row r="413" spans="2:10" x14ac:dyDescent="0.25">
      <c r="B413" s="1" t="s">
        <v>18</v>
      </c>
      <c r="C413" s="1" t="s">
        <v>29</v>
      </c>
      <c r="D413" s="5">
        <v>43238</v>
      </c>
      <c r="E413" s="5">
        <v>34443</v>
      </c>
      <c r="F413" s="1">
        <v>22260</v>
      </c>
      <c r="G413" s="6">
        <f t="shared" si="27"/>
        <v>6678</v>
      </c>
      <c r="H413" s="6">
        <f t="shared" si="28"/>
        <v>4452</v>
      </c>
      <c r="I413" s="6">
        <f t="shared" si="29"/>
        <v>2671.2</v>
      </c>
      <c r="J413" s="6">
        <f t="shared" si="30"/>
        <v>36061.199999999997</v>
      </c>
    </row>
    <row r="414" spans="2:10" x14ac:dyDescent="0.25">
      <c r="B414" s="1" t="s">
        <v>18</v>
      </c>
      <c r="C414" s="1" t="s">
        <v>34</v>
      </c>
      <c r="D414" s="5">
        <v>44877</v>
      </c>
      <c r="E414" s="5">
        <v>34216</v>
      </c>
      <c r="F414" s="1">
        <v>20411</v>
      </c>
      <c r="G414" s="6">
        <f t="shared" si="27"/>
        <v>6123.3</v>
      </c>
      <c r="H414" s="6">
        <f t="shared" si="28"/>
        <v>4082.2000000000003</v>
      </c>
      <c r="I414" s="6">
        <f t="shared" si="29"/>
        <v>2449.3199999999997</v>
      </c>
      <c r="J414" s="6">
        <f t="shared" si="30"/>
        <v>33065.82</v>
      </c>
    </row>
    <row r="415" spans="2:10" x14ac:dyDescent="0.25">
      <c r="B415" s="1" t="s">
        <v>18</v>
      </c>
      <c r="C415" s="1" t="s">
        <v>30</v>
      </c>
      <c r="D415" s="5">
        <v>44714</v>
      </c>
      <c r="E415" s="5">
        <v>32665</v>
      </c>
      <c r="F415" s="1">
        <v>22280</v>
      </c>
      <c r="G415" s="6">
        <f t="shared" si="27"/>
        <v>6684</v>
      </c>
      <c r="H415" s="6">
        <f t="shared" si="28"/>
        <v>4456</v>
      </c>
      <c r="I415" s="6">
        <f t="shared" si="29"/>
        <v>2673.6</v>
      </c>
      <c r="J415" s="6">
        <f t="shared" si="30"/>
        <v>36093.599999999999</v>
      </c>
    </row>
    <row r="416" spans="2:10" x14ac:dyDescent="0.25">
      <c r="B416" s="1" t="s">
        <v>19</v>
      </c>
      <c r="C416" s="1" t="s">
        <v>25</v>
      </c>
      <c r="D416" s="5">
        <v>44119</v>
      </c>
      <c r="E416" s="5">
        <v>33184</v>
      </c>
      <c r="F416" s="1">
        <v>31795</v>
      </c>
      <c r="G416" s="6">
        <f t="shared" si="27"/>
        <v>9538.5</v>
      </c>
      <c r="H416" s="6">
        <f t="shared" si="28"/>
        <v>6359</v>
      </c>
      <c r="I416" s="6">
        <f t="shared" si="29"/>
        <v>3815.3999999999996</v>
      </c>
      <c r="J416" s="6">
        <f t="shared" si="30"/>
        <v>51507.9</v>
      </c>
    </row>
    <row r="417" spans="2:10" x14ac:dyDescent="0.25">
      <c r="B417" s="1" t="s">
        <v>19</v>
      </c>
      <c r="C417" s="1" t="s">
        <v>21</v>
      </c>
      <c r="D417" s="5">
        <v>43748</v>
      </c>
      <c r="E417" s="5">
        <v>34111</v>
      </c>
      <c r="F417" s="1">
        <v>26142</v>
      </c>
      <c r="G417" s="6">
        <f t="shared" si="27"/>
        <v>7842.5999999999995</v>
      </c>
      <c r="H417" s="6">
        <f t="shared" si="28"/>
        <v>5228.4000000000005</v>
      </c>
      <c r="I417" s="6">
        <f t="shared" si="29"/>
        <v>3137.04</v>
      </c>
      <c r="J417" s="6">
        <f t="shared" si="30"/>
        <v>42350.04</v>
      </c>
    </row>
    <row r="418" spans="2:10" x14ac:dyDescent="0.25">
      <c r="B418" s="1" t="s">
        <v>19</v>
      </c>
      <c r="C418" s="1" t="s">
        <v>31</v>
      </c>
      <c r="D418" s="5">
        <v>43605</v>
      </c>
      <c r="E418" s="5">
        <v>32533</v>
      </c>
      <c r="F418" s="1">
        <v>29741</v>
      </c>
      <c r="G418" s="6">
        <f t="shared" si="27"/>
        <v>8922.2999999999993</v>
      </c>
      <c r="H418" s="6">
        <f t="shared" si="28"/>
        <v>5948.2000000000007</v>
      </c>
      <c r="I418" s="6">
        <f t="shared" si="29"/>
        <v>3568.92</v>
      </c>
      <c r="J418" s="6">
        <f t="shared" si="30"/>
        <v>48180.42</v>
      </c>
    </row>
    <row r="419" spans="2:10" x14ac:dyDescent="0.25">
      <c r="B419" s="1" t="s">
        <v>19</v>
      </c>
      <c r="C419" s="1" t="s">
        <v>26</v>
      </c>
      <c r="D419" s="5">
        <v>43307</v>
      </c>
      <c r="E419" s="5">
        <v>32312</v>
      </c>
      <c r="F419" s="1">
        <v>26564</v>
      </c>
      <c r="G419" s="6">
        <f t="shared" si="27"/>
        <v>7969.2</v>
      </c>
      <c r="H419" s="6">
        <f t="shared" si="28"/>
        <v>5312.8</v>
      </c>
      <c r="I419" s="6">
        <f t="shared" si="29"/>
        <v>3187.68</v>
      </c>
      <c r="J419" s="6">
        <f t="shared" si="30"/>
        <v>43033.68</v>
      </c>
    </row>
    <row r="420" spans="2:10" x14ac:dyDescent="0.25">
      <c r="B420" s="1" t="s">
        <v>19</v>
      </c>
      <c r="C420" s="1" t="s">
        <v>25</v>
      </c>
      <c r="D420" s="5">
        <v>43794</v>
      </c>
      <c r="E420" s="5">
        <v>34648</v>
      </c>
      <c r="F420" s="1">
        <v>27251</v>
      </c>
      <c r="G420" s="6">
        <f t="shared" si="27"/>
        <v>8175.2999999999993</v>
      </c>
      <c r="H420" s="6">
        <f t="shared" si="28"/>
        <v>5450.2000000000007</v>
      </c>
      <c r="I420" s="6">
        <f t="shared" si="29"/>
        <v>3270.12</v>
      </c>
      <c r="J420" s="6">
        <f t="shared" si="30"/>
        <v>44146.62</v>
      </c>
    </row>
    <row r="421" spans="2:10" x14ac:dyDescent="0.25">
      <c r="B421" s="1" t="s">
        <v>19</v>
      </c>
      <c r="C421" s="1" t="s">
        <v>35</v>
      </c>
      <c r="D421" s="5">
        <v>44068</v>
      </c>
      <c r="E421" s="5">
        <v>34518</v>
      </c>
      <c r="F421" s="1">
        <v>34433</v>
      </c>
      <c r="G421" s="6">
        <f t="shared" si="27"/>
        <v>10329.9</v>
      </c>
      <c r="H421" s="6">
        <f t="shared" si="28"/>
        <v>6886.6</v>
      </c>
      <c r="I421" s="6">
        <f t="shared" si="29"/>
        <v>4131.96</v>
      </c>
      <c r="J421" s="6">
        <f t="shared" si="30"/>
        <v>55781.46</v>
      </c>
    </row>
    <row r="422" spans="2:10" x14ac:dyDescent="0.25">
      <c r="B422" s="1" t="s">
        <v>19</v>
      </c>
      <c r="C422" s="1" t="s">
        <v>32</v>
      </c>
      <c r="D422" s="5">
        <v>43977</v>
      </c>
      <c r="E422" s="5">
        <v>32682</v>
      </c>
      <c r="F422" s="1">
        <v>31968</v>
      </c>
      <c r="G422" s="6">
        <f t="shared" si="27"/>
        <v>9590.4</v>
      </c>
      <c r="H422" s="6">
        <f t="shared" si="28"/>
        <v>6393.6</v>
      </c>
      <c r="I422" s="6">
        <f t="shared" si="29"/>
        <v>3836.16</v>
      </c>
      <c r="J422" s="6">
        <f t="shared" si="30"/>
        <v>51788.160000000003</v>
      </c>
    </row>
    <row r="423" spans="2:10" x14ac:dyDescent="0.25">
      <c r="B423" s="1" t="s">
        <v>19</v>
      </c>
      <c r="C423" s="1" t="s">
        <v>31</v>
      </c>
      <c r="D423" s="5">
        <v>43178</v>
      </c>
      <c r="E423" s="5">
        <v>34216</v>
      </c>
      <c r="F423" s="1">
        <v>34329</v>
      </c>
      <c r="G423" s="6">
        <f t="shared" si="27"/>
        <v>10298.699999999999</v>
      </c>
      <c r="H423" s="6">
        <f t="shared" si="28"/>
        <v>6865.8</v>
      </c>
      <c r="I423" s="6">
        <f t="shared" si="29"/>
        <v>4119.4799999999996</v>
      </c>
      <c r="J423" s="6">
        <f t="shared" si="30"/>
        <v>55612.979999999996</v>
      </c>
    </row>
    <row r="424" spans="2:10" x14ac:dyDescent="0.25">
      <c r="B424" s="1" t="s">
        <v>19</v>
      </c>
      <c r="C424" s="1" t="s">
        <v>24</v>
      </c>
      <c r="D424" s="5">
        <v>44874</v>
      </c>
      <c r="E424" s="5">
        <v>34729</v>
      </c>
      <c r="F424" s="1">
        <v>27835</v>
      </c>
      <c r="G424" s="6">
        <f t="shared" si="27"/>
        <v>8350.5</v>
      </c>
      <c r="H424" s="6">
        <f t="shared" si="28"/>
        <v>5567</v>
      </c>
      <c r="I424" s="6">
        <f t="shared" si="29"/>
        <v>3340.2</v>
      </c>
      <c r="J424" s="6">
        <f t="shared" si="30"/>
        <v>45092.7</v>
      </c>
    </row>
    <row r="425" spans="2:10" x14ac:dyDescent="0.25">
      <c r="B425" s="1" t="s">
        <v>19</v>
      </c>
      <c r="C425" s="1" t="s">
        <v>24</v>
      </c>
      <c r="D425" s="5">
        <v>43818</v>
      </c>
      <c r="E425" s="5">
        <v>34407</v>
      </c>
      <c r="F425" s="1">
        <v>33248</v>
      </c>
      <c r="G425" s="6">
        <f t="shared" si="27"/>
        <v>9974.4</v>
      </c>
      <c r="H425" s="6">
        <f t="shared" si="28"/>
        <v>6649.6</v>
      </c>
      <c r="I425" s="6">
        <f t="shared" si="29"/>
        <v>3989.7599999999998</v>
      </c>
      <c r="J425" s="6">
        <f t="shared" si="30"/>
        <v>53861.760000000002</v>
      </c>
    </row>
    <row r="426" spans="2:10" x14ac:dyDescent="0.25">
      <c r="B426" s="1" t="s">
        <v>19</v>
      </c>
      <c r="C426" s="1" t="s">
        <v>32</v>
      </c>
      <c r="D426" s="5">
        <v>43883</v>
      </c>
      <c r="E426" s="5">
        <v>34769</v>
      </c>
      <c r="F426" s="1">
        <v>30269</v>
      </c>
      <c r="G426" s="6">
        <f t="shared" si="27"/>
        <v>9080.6999999999989</v>
      </c>
      <c r="H426" s="6">
        <f t="shared" si="28"/>
        <v>6053.8</v>
      </c>
      <c r="I426" s="6">
        <f t="shared" si="29"/>
        <v>3632.2799999999997</v>
      </c>
      <c r="J426" s="6">
        <f t="shared" si="30"/>
        <v>49035.78</v>
      </c>
    </row>
    <row r="427" spans="2:10" x14ac:dyDescent="0.25">
      <c r="B427" s="1" t="s">
        <v>19</v>
      </c>
      <c r="C427" s="1" t="s">
        <v>0</v>
      </c>
      <c r="D427" s="5">
        <v>44801</v>
      </c>
      <c r="E427" s="5">
        <v>32418</v>
      </c>
      <c r="F427" s="1">
        <v>31007</v>
      </c>
      <c r="G427" s="6">
        <f t="shared" si="27"/>
        <v>9302.1</v>
      </c>
      <c r="H427" s="6">
        <f t="shared" si="28"/>
        <v>6201.4000000000005</v>
      </c>
      <c r="I427" s="6">
        <f t="shared" si="29"/>
        <v>3720.8399999999997</v>
      </c>
      <c r="J427" s="6">
        <f t="shared" si="30"/>
        <v>50231.34</v>
      </c>
    </row>
    <row r="428" spans="2:10" x14ac:dyDescent="0.25">
      <c r="B428" s="1" t="s">
        <v>19</v>
      </c>
      <c r="C428" s="1" t="s">
        <v>36</v>
      </c>
      <c r="D428" s="5">
        <v>44870</v>
      </c>
      <c r="E428" s="5">
        <v>34241</v>
      </c>
      <c r="F428" s="1">
        <v>27722</v>
      </c>
      <c r="G428" s="6">
        <f t="shared" si="27"/>
        <v>8316.6</v>
      </c>
      <c r="H428" s="6">
        <f t="shared" si="28"/>
        <v>5544.4000000000005</v>
      </c>
      <c r="I428" s="6">
        <f t="shared" si="29"/>
        <v>3326.64</v>
      </c>
      <c r="J428" s="6">
        <f t="shared" si="30"/>
        <v>44909.64</v>
      </c>
    </row>
    <row r="429" spans="2:10" x14ac:dyDescent="0.25">
      <c r="B429" s="1" t="s">
        <v>19</v>
      </c>
      <c r="C429" s="1" t="s">
        <v>37</v>
      </c>
      <c r="D429" s="5">
        <v>44503</v>
      </c>
      <c r="E429" s="5">
        <v>33845</v>
      </c>
      <c r="F429" s="1">
        <v>30627</v>
      </c>
      <c r="G429" s="6">
        <f t="shared" si="27"/>
        <v>9188.1</v>
      </c>
      <c r="H429" s="6">
        <f t="shared" si="28"/>
        <v>6125.4000000000005</v>
      </c>
      <c r="I429" s="6">
        <f t="shared" si="29"/>
        <v>3675.24</v>
      </c>
      <c r="J429" s="6">
        <f t="shared" si="30"/>
        <v>49615.74</v>
      </c>
    </row>
    <row r="430" spans="2:10" x14ac:dyDescent="0.25">
      <c r="B430" s="1" t="s">
        <v>19</v>
      </c>
      <c r="C430" s="1" t="s">
        <v>37</v>
      </c>
      <c r="D430" s="5">
        <v>44282</v>
      </c>
      <c r="E430" s="5">
        <v>33089</v>
      </c>
      <c r="F430" s="1">
        <v>32245</v>
      </c>
      <c r="G430" s="6">
        <f t="shared" si="27"/>
        <v>9673.5</v>
      </c>
      <c r="H430" s="6">
        <f t="shared" si="28"/>
        <v>6449</v>
      </c>
      <c r="I430" s="6">
        <f t="shared" si="29"/>
        <v>3869.3999999999996</v>
      </c>
      <c r="J430" s="6">
        <f t="shared" si="30"/>
        <v>52236.9</v>
      </c>
    </row>
    <row r="431" spans="2:10" x14ac:dyDescent="0.25">
      <c r="B431" s="1" t="s">
        <v>19</v>
      </c>
      <c r="C431" s="1" t="s">
        <v>20</v>
      </c>
      <c r="D431" s="5">
        <v>44742</v>
      </c>
      <c r="E431" s="5">
        <v>33282</v>
      </c>
      <c r="F431" s="1">
        <v>25694</v>
      </c>
      <c r="G431" s="6">
        <f t="shared" si="27"/>
        <v>7708.2</v>
      </c>
      <c r="H431" s="6">
        <f t="shared" si="28"/>
        <v>5138.8</v>
      </c>
      <c r="I431" s="6">
        <f t="shared" si="29"/>
        <v>3083.2799999999997</v>
      </c>
      <c r="J431" s="6">
        <f t="shared" si="30"/>
        <v>41624.28</v>
      </c>
    </row>
    <row r="432" spans="2:10" x14ac:dyDescent="0.25">
      <c r="B432" s="1" t="s">
        <v>19</v>
      </c>
      <c r="C432" s="1" t="s">
        <v>34</v>
      </c>
      <c r="D432" s="5">
        <v>43872</v>
      </c>
      <c r="E432" s="5">
        <v>32346</v>
      </c>
      <c r="F432" s="1">
        <v>34288</v>
      </c>
      <c r="G432" s="6">
        <f t="shared" si="27"/>
        <v>10286.4</v>
      </c>
      <c r="H432" s="6">
        <f t="shared" si="28"/>
        <v>6857.6</v>
      </c>
      <c r="I432" s="6">
        <f t="shared" si="29"/>
        <v>4114.5599999999995</v>
      </c>
      <c r="J432" s="6">
        <f t="shared" si="30"/>
        <v>55546.559999999998</v>
      </c>
    </row>
    <row r="433" spans="2:10" x14ac:dyDescent="0.25">
      <c r="B433" s="1" t="s">
        <v>19</v>
      </c>
      <c r="C433" s="1" t="s">
        <v>25</v>
      </c>
      <c r="D433" s="5">
        <v>44418</v>
      </c>
      <c r="E433" s="5">
        <v>32198</v>
      </c>
      <c r="F433" s="1">
        <v>33602</v>
      </c>
      <c r="G433" s="6">
        <f t="shared" si="27"/>
        <v>10080.6</v>
      </c>
      <c r="H433" s="6">
        <f t="shared" si="28"/>
        <v>6720.4000000000005</v>
      </c>
      <c r="I433" s="6">
        <f t="shared" si="29"/>
        <v>4032.24</v>
      </c>
      <c r="J433" s="6">
        <f t="shared" si="30"/>
        <v>54435.24</v>
      </c>
    </row>
    <row r="434" spans="2:10" x14ac:dyDescent="0.25">
      <c r="B434" s="1" t="s">
        <v>19</v>
      </c>
      <c r="C434" s="1" t="s">
        <v>22</v>
      </c>
      <c r="D434" s="5">
        <v>44607</v>
      </c>
      <c r="E434" s="5">
        <v>34895</v>
      </c>
      <c r="F434" s="1">
        <v>32154</v>
      </c>
      <c r="G434" s="6">
        <f t="shared" si="27"/>
        <v>9646.1999999999989</v>
      </c>
      <c r="H434" s="6">
        <f t="shared" si="28"/>
        <v>6430.8</v>
      </c>
      <c r="I434" s="6">
        <f t="shared" si="29"/>
        <v>3858.48</v>
      </c>
      <c r="J434" s="6">
        <f t="shared" si="30"/>
        <v>52089.48</v>
      </c>
    </row>
    <row r="435" spans="2:10" x14ac:dyDescent="0.25">
      <c r="B435" s="1" t="s">
        <v>19</v>
      </c>
      <c r="C435" s="1" t="s">
        <v>36</v>
      </c>
      <c r="D435" s="5">
        <v>43731</v>
      </c>
      <c r="E435" s="5">
        <v>33235</v>
      </c>
      <c r="F435" s="1">
        <v>28138</v>
      </c>
      <c r="G435" s="6">
        <f t="shared" si="27"/>
        <v>8441.4</v>
      </c>
      <c r="H435" s="6">
        <f t="shared" si="28"/>
        <v>5627.6</v>
      </c>
      <c r="I435" s="6">
        <f t="shared" si="29"/>
        <v>3376.56</v>
      </c>
      <c r="J435" s="6">
        <f t="shared" si="30"/>
        <v>45583.56</v>
      </c>
    </row>
    <row r="436" spans="2:10" x14ac:dyDescent="0.25">
      <c r="B436" s="1" t="s">
        <v>19</v>
      </c>
      <c r="C436" s="1" t="s">
        <v>24</v>
      </c>
      <c r="D436" s="5">
        <v>44765</v>
      </c>
      <c r="E436" s="5">
        <v>32613</v>
      </c>
      <c r="F436" s="1">
        <v>26084</v>
      </c>
      <c r="G436" s="6">
        <f t="shared" si="27"/>
        <v>7825.2</v>
      </c>
      <c r="H436" s="6">
        <f t="shared" si="28"/>
        <v>5216.8</v>
      </c>
      <c r="I436" s="6">
        <f t="shared" si="29"/>
        <v>3130.08</v>
      </c>
      <c r="J436" s="6">
        <f t="shared" si="30"/>
        <v>42256.08</v>
      </c>
    </row>
    <row r="437" spans="2:10" x14ac:dyDescent="0.25">
      <c r="B437" s="1" t="s">
        <v>19</v>
      </c>
      <c r="C437" s="1" t="s">
        <v>31</v>
      </c>
      <c r="D437" s="5">
        <v>43638</v>
      </c>
      <c r="E437" s="5">
        <v>32582</v>
      </c>
      <c r="F437" s="1">
        <v>28447</v>
      </c>
      <c r="G437" s="6">
        <f t="shared" si="27"/>
        <v>8534.1</v>
      </c>
      <c r="H437" s="6">
        <f t="shared" si="28"/>
        <v>5689.4000000000005</v>
      </c>
      <c r="I437" s="6">
        <f t="shared" si="29"/>
        <v>3413.64</v>
      </c>
      <c r="J437" s="6">
        <f t="shared" si="30"/>
        <v>46084.14</v>
      </c>
    </row>
    <row r="438" spans="2:10" x14ac:dyDescent="0.25">
      <c r="B438" s="1" t="s">
        <v>19</v>
      </c>
      <c r="C438" s="1" t="s">
        <v>32</v>
      </c>
      <c r="D438" s="5">
        <v>44136</v>
      </c>
      <c r="E438" s="5">
        <v>34816</v>
      </c>
      <c r="F438" s="1">
        <v>33900</v>
      </c>
      <c r="G438" s="6">
        <f t="shared" si="27"/>
        <v>10170</v>
      </c>
      <c r="H438" s="6">
        <f t="shared" si="28"/>
        <v>6780</v>
      </c>
      <c r="I438" s="6">
        <f t="shared" si="29"/>
        <v>4068</v>
      </c>
      <c r="J438" s="6">
        <f t="shared" si="30"/>
        <v>54918</v>
      </c>
    </row>
    <row r="439" spans="2:10" x14ac:dyDescent="0.25">
      <c r="B439" s="1" t="s">
        <v>19</v>
      </c>
      <c r="C439" s="1" t="s">
        <v>34</v>
      </c>
      <c r="D439" s="5">
        <v>44592</v>
      </c>
      <c r="E439" s="5">
        <v>32916</v>
      </c>
      <c r="F439" s="1">
        <v>25959</v>
      </c>
      <c r="G439" s="6">
        <f t="shared" si="27"/>
        <v>7787.7</v>
      </c>
      <c r="H439" s="6">
        <f t="shared" si="28"/>
        <v>5191.8</v>
      </c>
      <c r="I439" s="6">
        <f t="shared" si="29"/>
        <v>3115.08</v>
      </c>
      <c r="J439" s="6">
        <f t="shared" si="30"/>
        <v>42053.58</v>
      </c>
    </row>
    <row r="440" spans="2:10" x14ac:dyDescent="0.25">
      <c r="B440" s="1" t="s">
        <v>19</v>
      </c>
      <c r="C440" s="1" t="s">
        <v>33</v>
      </c>
      <c r="D440" s="5">
        <v>43320</v>
      </c>
      <c r="E440" s="5">
        <v>32509</v>
      </c>
      <c r="F440" s="1">
        <v>28797</v>
      </c>
      <c r="G440" s="6">
        <f t="shared" si="27"/>
        <v>8639.1</v>
      </c>
      <c r="H440" s="6">
        <f t="shared" si="28"/>
        <v>5759.4000000000005</v>
      </c>
      <c r="I440" s="6">
        <f t="shared" si="29"/>
        <v>3455.64</v>
      </c>
      <c r="J440" s="6">
        <f t="shared" si="30"/>
        <v>46651.14</v>
      </c>
    </row>
    <row r="441" spans="2:10" x14ac:dyDescent="0.25">
      <c r="B441" s="1" t="s">
        <v>19</v>
      </c>
      <c r="C441" s="1" t="s">
        <v>22</v>
      </c>
      <c r="D441" s="5">
        <v>43237</v>
      </c>
      <c r="E441" s="5">
        <v>33970</v>
      </c>
      <c r="F441" s="1">
        <v>27136</v>
      </c>
      <c r="G441" s="6">
        <f t="shared" si="27"/>
        <v>8140.7999999999993</v>
      </c>
      <c r="H441" s="6">
        <f t="shared" si="28"/>
        <v>5427.2000000000007</v>
      </c>
      <c r="I441" s="6">
        <f t="shared" si="29"/>
        <v>3256.3199999999997</v>
      </c>
      <c r="J441" s="6">
        <f t="shared" si="30"/>
        <v>43960.32</v>
      </c>
    </row>
    <row r="442" spans="2:10" x14ac:dyDescent="0.25">
      <c r="B442" s="1" t="s">
        <v>19</v>
      </c>
      <c r="C442" s="1" t="s">
        <v>37</v>
      </c>
      <c r="D442" s="5">
        <v>44279</v>
      </c>
      <c r="E442" s="5">
        <v>34457</v>
      </c>
      <c r="F442" s="1">
        <v>30874</v>
      </c>
      <c r="G442" s="6">
        <f t="shared" si="27"/>
        <v>9262.1999999999989</v>
      </c>
      <c r="H442" s="6">
        <f t="shared" si="28"/>
        <v>6174.8</v>
      </c>
      <c r="I442" s="6">
        <f t="shared" si="29"/>
        <v>3704.8799999999997</v>
      </c>
      <c r="J442" s="6">
        <f t="shared" si="30"/>
        <v>50015.88</v>
      </c>
    </row>
    <row r="443" spans="2:10" x14ac:dyDescent="0.25">
      <c r="B443" s="1" t="s">
        <v>19</v>
      </c>
      <c r="C443" s="1" t="s">
        <v>36</v>
      </c>
      <c r="D443" s="5">
        <v>43180</v>
      </c>
      <c r="E443" s="5">
        <v>33320</v>
      </c>
      <c r="F443" s="1">
        <v>31771</v>
      </c>
      <c r="G443" s="6">
        <f t="shared" si="27"/>
        <v>9531.2999999999993</v>
      </c>
      <c r="H443" s="6">
        <f t="shared" si="28"/>
        <v>6354.2000000000007</v>
      </c>
      <c r="I443" s="6">
        <f t="shared" si="29"/>
        <v>3812.52</v>
      </c>
      <c r="J443" s="6">
        <f t="shared" si="30"/>
        <v>51469.02</v>
      </c>
    </row>
    <row r="444" spans="2:10" x14ac:dyDescent="0.25">
      <c r="B444" s="1" t="s">
        <v>19</v>
      </c>
      <c r="C444" s="1" t="s">
        <v>20</v>
      </c>
      <c r="D444" s="5">
        <v>43959</v>
      </c>
      <c r="E444" s="5">
        <v>32760</v>
      </c>
      <c r="F444" s="1">
        <v>34723</v>
      </c>
      <c r="G444" s="6">
        <f t="shared" si="27"/>
        <v>10416.9</v>
      </c>
      <c r="H444" s="6">
        <f t="shared" si="28"/>
        <v>6944.6</v>
      </c>
      <c r="I444" s="6">
        <f t="shared" si="29"/>
        <v>4166.76</v>
      </c>
      <c r="J444" s="6">
        <f t="shared" si="30"/>
        <v>56251.26</v>
      </c>
    </row>
    <row r="445" spans="2:10" x14ac:dyDescent="0.25">
      <c r="B445" s="1" t="s">
        <v>19</v>
      </c>
      <c r="C445" s="1" t="s">
        <v>32</v>
      </c>
      <c r="D445" s="5">
        <v>44058</v>
      </c>
      <c r="E445" s="5">
        <v>33615</v>
      </c>
      <c r="F445" s="1">
        <v>32371</v>
      </c>
      <c r="G445" s="6">
        <f t="shared" si="27"/>
        <v>9711.2999999999993</v>
      </c>
      <c r="H445" s="6">
        <f t="shared" si="28"/>
        <v>6474.2000000000007</v>
      </c>
      <c r="I445" s="6">
        <f t="shared" si="29"/>
        <v>3884.52</v>
      </c>
      <c r="J445" s="6">
        <f t="shared" si="30"/>
        <v>52441.02</v>
      </c>
    </row>
    <row r="446" spans="2:10" x14ac:dyDescent="0.25">
      <c r="B446" s="1" t="s">
        <v>19</v>
      </c>
      <c r="C446" s="1" t="s">
        <v>29</v>
      </c>
      <c r="D446" s="5">
        <v>44826</v>
      </c>
      <c r="E446" s="5">
        <v>32661</v>
      </c>
      <c r="F446" s="1">
        <v>30962</v>
      </c>
      <c r="G446" s="6">
        <f t="shared" si="27"/>
        <v>9288.6</v>
      </c>
      <c r="H446" s="6">
        <f t="shared" si="28"/>
        <v>6192.4000000000005</v>
      </c>
      <c r="I446" s="6">
        <f t="shared" si="29"/>
        <v>3715.44</v>
      </c>
      <c r="J446" s="6">
        <f t="shared" si="30"/>
        <v>50158.44</v>
      </c>
    </row>
    <row r="447" spans="2:10" x14ac:dyDescent="0.25">
      <c r="B447" s="1" t="s">
        <v>19</v>
      </c>
      <c r="C447" s="1" t="s">
        <v>28</v>
      </c>
      <c r="D447" s="5">
        <v>43991</v>
      </c>
      <c r="E447" s="5">
        <v>33998</v>
      </c>
      <c r="F447" s="1">
        <v>33714</v>
      </c>
      <c r="G447" s="6">
        <f t="shared" si="27"/>
        <v>10114.199999999999</v>
      </c>
      <c r="H447" s="6">
        <f t="shared" si="28"/>
        <v>6742.8</v>
      </c>
      <c r="I447" s="6">
        <f t="shared" si="29"/>
        <v>4045.68</v>
      </c>
      <c r="J447" s="6">
        <f t="shared" si="30"/>
        <v>54616.68</v>
      </c>
    </row>
    <row r="448" spans="2:10" x14ac:dyDescent="0.25">
      <c r="B448" s="1" t="s">
        <v>19</v>
      </c>
      <c r="C448" s="1" t="s">
        <v>33</v>
      </c>
      <c r="D448" s="5">
        <v>44267</v>
      </c>
      <c r="E448" s="5">
        <v>33441</v>
      </c>
      <c r="F448" s="1">
        <v>29742</v>
      </c>
      <c r="G448" s="6">
        <f t="shared" si="27"/>
        <v>8922.6</v>
      </c>
      <c r="H448" s="6">
        <f t="shared" si="28"/>
        <v>5948.4000000000005</v>
      </c>
      <c r="I448" s="6">
        <f t="shared" si="29"/>
        <v>3569.04</v>
      </c>
      <c r="J448" s="6">
        <f t="shared" si="30"/>
        <v>48182.04</v>
      </c>
    </row>
    <row r="449" spans="2:10" x14ac:dyDescent="0.25">
      <c r="B449" s="1" t="s">
        <v>19</v>
      </c>
      <c r="C449" s="1" t="s">
        <v>22</v>
      </c>
      <c r="D449" s="5">
        <v>43781</v>
      </c>
      <c r="E449" s="5">
        <v>32445</v>
      </c>
      <c r="F449" s="1">
        <v>27891</v>
      </c>
      <c r="G449" s="6">
        <f t="shared" si="27"/>
        <v>8367.2999999999993</v>
      </c>
      <c r="H449" s="6">
        <f t="shared" si="28"/>
        <v>5578.2000000000007</v>
      </c>
      <c r="I449" s="6">
        <f t="shared" si="29"/>
        <v>3346.92</v>
      </c>
      <c r="J449" s="6">
        <f t="shared" si="30"/>
        <v>45183.42</v>
      </c>
    </row>
    <row r="450" spans="2:10" x14ac:dyDescent="0.25">
      <c r="B450" s="1" t="s">
        <v>19</v>
      </c>
      <c r="C450" s="1" t="s">
        <v>27</v>
      </c>
      <c r="D450" s="5">
        <v>43788</v>
      </c>
      <c r="E450" s="5">
        <v>33797</v>
      </c>
      <c r="F450" s="1">
        <v>25336</v>
      </c>
      <c r="G450" s="6">
        <f t="shared" si="27"/>
        <v>7600.7999999999993</v>
      </c>
      <c r="H450" s="6">
        <f t="shared" si="28"/>
        <v>5067.2000000000007</v>
      </c>
      <c r="I450" s="6">
        <f t="shared" si="29"/>
        <v>3040.3199999999997</v>
      </c>
      <c r="J450" s="6">
        <f t="shared" si="30"/>
        <v>41044.32</v>
      </c>
    </row>
    <row r="451" spans="2:10" x14ac:dyDescent="0.25">
      <c r="B451" s="1" t="s">
        <v>19</v>
      </c>
      <c r="C451" s="1" t="s">
        <v>36</v>
      </c>
      <c r="D451" s="5">
        <v>43866</v>
      </c>
      <c r="E451" s="5">
        <v>32460</v>
      </c>
      <c r="F451" s="1">
        <v>25630</v>
      </c>
      <c r="G451" s="6">
        <f t="shared" si="27"/>
        <v>7689</v>
      </c>
      <c r="H451" s="6">
        <f t="shared" si="28"/>
        <v>5126</v>
      </c>
      <c r="I451" s="6">
        <f t="shared" si="29"/>
        <v>3075.6</v>
      </c>
      <c r="J451" s="6">
        <f t="shared" si="30"/>
        <v>41520.6</v>
      </c>
    </row>
    <row r="452" spans="2:10" x14ac:dyDescent="0.25">
      <c r="B452" s="1" t="s">
        <v>19</v>
      </c>
      <c r="C452" s="1" t="s">
        <v>36</v>
      </c>
      <c r="D452" s="5">
        <v>43565</v>
      </c>
      <c r="E452" s="5">
        <v>33357</v>
      </c>
      <c r="F452" s="1">
        <v>26807</v>
      </c>
      <c r="G452" s="6">
        <f t="shared" si="27"/>
        <v>8042.0999999999995</v>
      </c>
      <c r="H452" s="6">
        <f t="shared" si="28"/>
        <v>5361.4000000000005</v>
      </c>
      <c r="I452" s="6">
        <f t="shared" si="29"/>
        <v>3216.8399999999997</v>
      </c>
      <c r="J452" s="6">
        <f t="shared" si="30"/>
        <v>43427.34</v>
      </c>
    </row>
    <row r="453" spans="2:10" x14ac:dyDescent="0.25">
      <c r="B453" s="1" t="s">
        <v>19</v>
      </c>
      <c r="C453" s="1" t="s">
        <v>22</v>
      </c>
      <c r="D453" s="5">
        <v>44642</v>
      </c>
      <c r="E453" s="5">
        <v>34318</v>
      </c>
      <c r="F453" s="1">
        <v>34220</v>
      </c>
      <c r="G453" s="6">
        <f t="shared" si="27"/>
        <v>10266</v>
      </c>
      <c r="H453" s="6">
        <f t="shared" si="28"/>
        <v>6844</v>
      </c>
      <c r="I453" s="6">
        <f t="shared" si="29"/>
        <v>4106.3999999999996</v>
      </c>
      <c r="J453" s="6">
        <f t="shared" si="30"/>
        <v>55436.4</v>
      </c>
    </row>
    <row r="454" spans="2:10" x14ac:dyDescent="0.25">
      <c r="B454" s="1" t="s">
        <v>19</v>
      </c>
      <c r="C454" s="1" t="s">
        <v>20</v>
      </c>
      <c r="D454" s="5">
        <v>43375</v>
      </c>
      <c r="E454" s="5">
        <v>32443</v>
      </c>
      <c r="F454" s="1">
        <v>33737</v>
      </c>
      <c r="G454" s="6">
        <f t="shared" si="27"/>
        <v>10121.1</v>
      </c>
      <c r="H454" s="6">
        <f t="shared" si="28"/>
        <v>6747.4000000000005</v>
      </c>
      <c r="I454" s="6">
        <f t="shared" si="29"/>
        <v>4048.44</v>
      </c>
      <c r="J454" s="6">
        <f t="shared" si="30"/>
        <v>54653.94</v>
      </c>
    </row>
    <row r="455" spans="2:10" x14ac:dyDescent="0.25">
      <c r="B455" s="1" t="s">
        <v>19</v>
      </c>
      <c r="C455" s="1" t="s">
        <v>25</v>
      </c>
      <c r="D455" s="5">
        <v>43341</v>
      </c>
      <c r="E455" s="5">
        <v>34944</v>
      </c>
      <c r="F455" s="1">
        <v>25258</v>
      </c>
      <c r="G455" s="6">
        <f t="shared" ref="G455:G518" si="31">F455*0.3</f>
        <v>7577.4</v>
      </c>
      <c r="H455" s="6">
        <f t="shared" si="28"/>
        <v>5051.6000000000004</v>
      </c>
      <c r="I455" s="6">
        <f t="shared" si="29"/>
        <v>3030.96</v>
      </c>
      <c r="J455" s="6">
        <f t="shared" si="30"/>
        <v>40917.96</v>
      </c>
    </row>
    <row r="456" spans="2:10" x14ac:dyDescent="0.25">
      <c r="B456" s="1" t="s">
        <v>19</v>
      </c>
      <c r="C456" s="1" t="s">
        <v>20</v>
      </c>
      <c r="D456" s="5">
        <v>44120</v>
      </c>
      <c r="E456" s="5">
        <v>32577</v>
      </c>
      <c r="F456" s="1">
        <v>25882</v>
      </c>
      <c r="G456" s="6">
        <f t="shared" si="31"/>
        <v>7764.5999999999995</v>
      </c>
      <c r="H456" s="6">
        <f t="shared" si="28"/>
        <v>5176.4000000000005</v>
      </c>
      <c r="I456" s="6">
        <f t="shared" si="29"/>
        <v>3105.8399999999997</v>
      </c>
      <c r="J456" s="6">
        <f t="shared" si="30"/>
        <v>41928.839999999997</v>
      </c>
    </row>
    <row r="457" spans="2:10" x14ac:dyDescent="0.25">
      <c r="B457" s="1" t="s">
        <v>19</v>
      </c>
      <c r="C457" s="1" t="s">
        <v>28</v>
      </c>
      <c r="D457" s="5">
        <v>43846</v>
      </c>
      <c r="E457" s="5">
        <v>33537</v>
      </c>
      <c r="F457" s="1">
        <v>30293</v>
      </c>
      <c r="G457" s="6">
        <f t="shared" si="31"/>
        <v>9087.9</v>
      </c>
      <c r="H457" s="6">
        <f t="shared" si="28"/>
        <v>6058.6</v>
      </c>
      <c r="I457" s="6">
        <f t="shared" si="29"/>
        <v>3635.16</v>
      </c>
      <c r="J457" s="6">
        <f t="shared" si="30"/>
        <v>49074.66</v>
      </c>
    </row>
    <row r="458" spans="2:10" x14ac:dyDescent="0.25">
      <c r="B458" s="1" t="s">
        <v>19</v>
      </c>
      <c r="C458" s="1" t="s">
        <v>25</v>
      </c>
      <c r="D458" s="5">
        <v>44656</v>
      </c>
      <c r="E458" s="5">
        <v>33724</v>
      </c>
      <c r="F458" s="1">
        <v>31236</v>
      </c>
      <c r="G458" s="6">
        <f t="shared" si="31"/>
        <v>9370.7999999999993</v>
      </c>
      <c r="H458" s="6">
        <f t="shared" si="28"/>
        <v>6247.2000000000007</v>
      </c>
      <c r="I458" s="6">
        <f t="shared" si="29"/>
        <v>3748.3199999999997</v>
      </c>
      <c r="J458" s="6">
        <f t="shared" si="30"/>
        <v>50602.32</v>
      </c>
    </row>
    <row r="459" spans="2:10" x14ac:dyDescent="0.25">
      <c r="B459" s="1" t="s">
        <v>19</v>
      </c>
      <c r="C459" s="1" t="s">
        <v>36</v>
      </c>
      <c r="D459" s="5">
        <v>43400</v>
      </c>
      <c r="E459" s="5">
        <v>34635</v>
      </c>
      <c r="F459" s="1">
        <v>25410</v>
      </c>
      <c r="G459" s="6">
        <f t="shared" si="31"/>
        <v>7623</v>
      </c>
      <c r="H459" s="6">
        <f t="shared" si="28"/>
        <v>5082</v>
      </c>
      <c r="I459" s="6">
        <f t="shared" si="29"/>
        <v>3049.2</v>
      </c>
      <c r="J459" s="6">
        <f t="shared" si="30"/>
        <v>41164.199999999997</v>
      </c>
    </row>
    <row r="460" spans="2:10" x14ac:dyDescent="0.25">
      <c r="B460" s="1" t="s">
        <v>19</v>
      </c>
      <c r="C460" s="1" t="s">
        <v>36</v>
      </c>
      <c r="D460" s="5">
        <v>44885</v>
      </c>
      <c r="E460" s="5">
        <v>34506</v>
      </c>
      <c r="F460" s="1">
        <v>27120</v>
      </c>
      <c r="G460" s="6">
        <f t="shared" si="31"/>
        <v>8136</v>
      </c>
      <c r="H460" s="6">
        <f t="shared" si="28"/>
        <v>5424</v>
      </c>
      <c r="I460" s="6">
        <f t="shared" si="29"/>
        <v>3254.4</v>
      </c>
      <c r="J460" s="6">
        <f t="shared" si="30"/>
        <v>43934.400000000001</v>
      </c>
    </row>
    <row r="461" spans="2:10" x14ac:dyDescent="0.25">
      <c r="B461" s="1" t="s">
        <v>19</v>
      </c>
      <c r="C461" s="1" t="s">
        <v>34</v>
      </c>
      <c r="D461" s="5">
        <v>43361</v>
      </c>
      <c r="E461" s="5">
        <v>33784</v>
      </c>
      <c r="F461" s="1">
        <v>31696</v>
      </c>
      <c r="G461" s="6">
        <f t="shared" si="31"/>
        <v>9508.7999999999993</v>
      </c>
      <c r="H461" s="6">
        <f t="shared" ref="H461:H524" si="32">F461*20%</f>
        <v>6339.2000000000007</v>
      </c>
      <c r="I461" s="6">
        <f t="shared" ref="I461:I524" si="33">F461*12%</f>
        <v>3803.52</v>
      </c>
      <c r="J461" s="6">
        <f t="shared" ref="J461:J524" si="34">SUM(F461:I461)</f>
        <v>51347.519999999997</v>
      </c>
    </row>
    <row r="462" spans="2:10" x14ac:dyDescent="0.25">
      <c r="B462" s="1" t="s">
        <v>19</v>
      </c>
      <c r="C462" s="1" t="s">
        <v>31</v>
      </c>
      <c r="D462" s="5">
        <v>44231</v>
      </c>
      <c r="E462" s="5">
        <v>32575</v>
      </c>
      <c r="F462" s="1">
        <v>34702</v>
      </c>
      <c r="G462" s="6">
        <f t="shared" si="31"/>
        <v>10410.6</v>
      </c>
      <c r="H462" s="6">
        <f t="shared" si="32"/>
        <v>6940.4000000000005</v>
      </c>
      <c r="I462" s="6">
        <f t="shared" si="33"/>
        <v>4164.24</v>
      </c>
      <c r="J462" s="6">
        <f t="shared" si="34"/>
        <v>56217.24</v>
      </c>
    </row>
    <row r="463" spans="2:10" x14ac:dyDescent="0.25">
      <c r="B463" s="1" t="s">
        <v>19</v>
      </c>
      <c r="C463" s="1" t="s">
        <v>33</v>
      </c>
      <c r="D463" s="5">
        <v>43319</v>
      </c>
      <c r="E463" s="5">
        <v>33359</v>
      </c>
      <c r="F463" s="1">
        <v>33313</v>
      </c>
      <c r="G463" s="6">
        <f t="shared" si="31"/>
        <v>9993.9</v>
      </c>
      <c r="H463" s="6">
        <f t="shared" si="32"/>
        <v>6662.6</v>
      </c>
      <c r="I463" s="6">
        <f t="shared" si="33"/>
        <v>3997.56</v>
      </c>
      <c r="J463" s="6">
        <f t="shared" si="34"/>
        <v>53967.06</v>
      </c>
    </row>
    <row r="464" spans="2:10" x14ac:dyDescent="0.25">
      <c r="B464" s="1" t="s">
        <v>19</v>
      </c>
      <c r="C464" s="1" t="s">
        <v>24</v>
      </c>
      <c r="D464" s="5">
        <v>44153</v>
      </c>
      <c r="E464" s="5">
        <v>32470</v>
      </c>
      <c r="F464" s="1">
        <v>34234</v>
      </c>
      <c r="G464" s="6">
        <f t="shared" si="31"/>
        <v>10270.199999999999</v>
      </c>
      <c r="H464" s="6">
        <f t="shared" si="32"/>
        <v>6846.8</v>
      </c>
      <c r="I464" s="6">
        <f t="shared" si="33"/>
        <v>4108.08</v>
      </c>
      <c r="J464" s="6">
        <f t="shared" si="34"/>
        <v>55459.08</v>
      </c>
    </row>
    <row r="465" spans="2:10" x14ac:dyDescent="0.25">
      <c r="B465" s="1" t="s">
        <v>19</v>
      </c>
      <c r="C465" s="1" t="s">
        <v>28</v>
      </c>
      <c r="D465" s="5">
        <v>44015</v>
      </c>
      <c r="E465" s="5">
        <v>34132</v>
      </c>
      <c r="F465" s="1">
        <v>29685</v>
      </c>
      <c r="G465" s="6">
        <f t="shared" si="31"/>
        <v>8905.5</v>
      </c>
      <c r="H465" s="6">
        <f t="shared" si="32"/>
        <v>5937</v>
      </c>
      <c r="I465" s="6">
        <f t="shared" si="33"/>
        <v>3562.2</v>
      </c>
      <c r="J465" s="6">
        <f t="shared" si="34"/>
        <v>48089.7</v>
      </c>
    </row>
    <row r="466" spans="2:10" x14ac:dyDescent="0.25">
      <c r="B466" s="1" t="s">
        <v>19</v>
      </c>
      <c r="C466" s="1" t="s">
        <v>27</v>
      </c>
      <c r="D466" s="5">
        <v>44573</v>
      </c>
      <c r="E466" s="5">
        <v>34553</v>
      </c>
      <c r="F466" s="1">
        <v>31926</v>
      </c>
      <c r="G466" s="6">
        <f t="shared" si="31"/>
        <v>9577.7999999999993</v>
      </c>
      <c r="H466" s="6">
        <f t="shared" si="32"/>
        <v>6385.2000000000007</v>
      </c>
      <c r="I466" s="6">
        <f t="shared" si="33"/>
        <v>3831.12</v>
      </c>
      <c r="J466" s="6">
        <f t="shared" si="34"/>
        <v>51720.12</v>
      </c>
    </row>
    <row r="467" spans="2:10" x14ac:dyDescent="0.25">
      <c r="B467" s="1" t="s">
        <v>19</v>
      </c>
      <c r="C467" s="1" t="s">
        <v>32</v>
      </c>
      <c r="D467" s="5">
        <v>43327</v>
      </c>
      <c r="E467" s="5">
        <v>34163</v>
      </c>
      <c r="F467" s="1">
        <v>25659</v>
      </c>
      <c r="G467" s="6">
        <f t="shared" si="31"/>
        <v>7697.7</v>
      </c>
      <c r="H467" s="6">
        <f t="shared" si="32"/>
        <v>5131.8</v>
      </c>
      <c r="I467" s="6">
        <f t="shared" si="33"/>
        <v>3079.08</v>
      </c>
      <c r="J467" s="6">
        <f t="shared" si="34"/>
        <v>41567.58</v>
      </c>
    </row>
    <row r="468" spans="2:10" x14ac:dyDescent="0.25">
      <c r="B468" s="1" t="s">
        <v>19</v>
      </c>
      <c r="C468" s="1" t="s">
        <v>28</v>
      </c>
      <c r="D468" s="5">
        <v>43470</v>
      </c>
      <c r="E468" s="5">
        <v>35060</v>
      </c>
      <c r="F468" s="1">
        <v>31465</v>
      </c>
      <c r="G468" s="6">
        <f t="shared" si="31"/>
        <v>9439.5</v>
      </c>
      <c r="H468" s="6">
        <f t="shared" si="32"/>
        <v>6293</v>
      </c>
      <c r="I468" s="6">
        <f t="shared" si="33"/>
        <v>3775.7999999999997</v>
      </c>
      <c r="J468" s="6">
        <f t="shared" si="34"/>
        <v>50973.3</v>
      </c>
    </row>
    <row r="469" spans="2:10" x14ac:dyDescent="0.25">
      <c r="B469" s="1" t="s">
        <v>19</v>
      </c>
      <c r="C469" s="1" t="s">
        <v>33</v>
      </c>
      <c r="D469" s="5">
        <v>43933</v>
      </c>
      <c r="E469" s="5">
        <v>33301</v>
      </c>
      <c r="F469" s="1">
        <v>29823</v>
      </c>
      <c r="G469" s="6">
        <f t="shared" si="31"/>
        <v>8946.9</v>
      </c>
      <c r="H469" s="6">
        <f t="shared" si="32"/>
        <v>5964.6</v>
      </c>
      <c r="I469" s="6">
        <f t="shared" si="33"/>
        <v>3578.7599999999998</v>
      </c>
      <c r="J469" s="6">
        <f t="shared" si="34"/>
        <v>48313.26</v>
      </c>
    </row>
    <row r="470" spans="2:10" x14ac:dyDescent="0.25">
      <c r="B470" s="1" t="s">
        <v>19</v>
      </c>
      <c r="C470" s="1" t="s">
        <v>33</v>
      </c>
      <c r="D470" s="5">
        <v>44920</v>
      </c>
      <c r="E470" s="5">
        <v>32156</v>
      </c>
      <c r="F470" s="1">
        <v>31126</v>
      </c>
      <c r="G470" s="6">
        <f t="shared" si="31"/>
        <v>9337.7999999999993</v>
      </c>
      <c r="H470" s="6">
        <f t="shared" si="32"/>
        <v>6225.2000000000007</v>
      </c>
      <c r="I470" s="6">
        <f t="shared" si="33"/>
        <v>3735.12</v>
      </c>
      <c r="J470" s="6">
        <f t="shared" si="34"/>
        <v>50424.12</v>
      </c>
    </row>
    <row r="471" spans="2:10" x14ac:dyDescent="0.25">
      <c r="B471" s="1" t="s">
        <v>19</v>
      </c>
      <c r="C471" s="1" t="s">
        <v>37</v>
      </c>
      <c r="D471" s="5">
        <v>44206</v>
      </c>
      <c r="E471" s="5">
        <v>34866</v>
      </c>
      <c r="F471" s="1">
        <v>32276</v>
      </c>
      <c r="G471" s="6">
        <f t="shared" si="31"/>
        <v>9682.7999999999993</v>
      </c>
      <c r="H471" s="6">
        <f t="shared" si="32"/>
        <v>6455.2000000000007</v>
      </c>
      <c r="I471" s="6">
        <f t="shared" si="33"/>
        <v>3873.12</v>
      </c>
      <c r="J471" s="6">
        <f t="shared" si="34"/>
        <v>52287.12</v>
      </c>
    </row>
    <row r="472" spans="2:10" x14ac:dyDescent="0.25">
      <c r="B472" s="1" t="s">
        <v>19</v>
      </c>
      <c r="C472" s="1" t="s">
        <v>27</v>
      </c>
      <c r="D472" s="5">
        <v>43850</v>
      </c>
      <c r="E472" s="5">
        <v>33459</v>
      </c>
      <c r="F472" s="1">
        <v>31067</v>
      </c>
      <c r="G472" s="6">
        <f t="shared" si="31"/>
        <v>9320.1</v>
      </c>
      <c r="H472" s="6">
        <f t="shared" si="32"/>
        <v>6213.4000000000005</v>
      </c>
      <c r="I472" s="6">
        <f t="shared" si="33"/>
        <v>3728.04</v>
      </c>
      <c r="J472" s="6">
        <f t="shared" si="34"/>
        <v>50328.54</v>
      </c>
    </row>
    <row r="473" spans="2:10" x14ac:dyDescent="0.25">
      <c r="B473" s="1" t="s">
        <v>19</v>
      </c>
      <c r="C473" s="1" t="s">
        <v>24</v>
      </c>
      <c r="D473" s="5">
        <v>43695</v>
      </c>
      <c r="E473" s="5">
        <v>34532</v>
      </c>
      <c r="F473" s="1">
        <v>31269</v>
      </c>
      <c r="G473" s="6">
        <f t="shared" si="31"/>
        <v>9380.6999999999989</v>
      </c>
      <c r="H473" s="6">
        <f t="shared" si="32"/>
        <v>6253.8</v>
      </c>
      <c r="I473" s="6">
        <f t="shared" si="33"/>
        <v>3752.2799999999997</v>
      </c>
      <c r="J473" s="6">
        <f t="shared" si="34"/>
        <v>50655.78</v>
      </c>
    </row>
    <row r="474" spans="2:10" x14ac:dyDescent="0.25">
      <c r="B474" s="1" t="s">
        <v>19</v>
      </c>
      <c r="C474" s="1" t="s">
        <v>28</v>
      </c>
      <c r="D474" s="5">
        <v>43240</v>
      </c>
      <c r="E474" s="5">
        <v>34584</v>
      </c>
      <c r="F474" s="1">
        <v>26056</v>
      </c>
      <c r="G474" s="6">
        <f t="shared" si="31"/>
        <v>7816.7999999999993</v>
      </c>
      <c r="H474" s="6">
        <f t="shared" si="32"/>
        <v>5211.2000000000007</v>
      </c>
      <c r="I474" s="6">
        <f t="shared" si="33"/>
        <v>3126.72</v>
      </c>
      <c r="J474" s="6">
        <f t="shared" si="34"/>
        <v>42210.720000000001</v>
      </c>
    </row>
    <row r="475" spans="2:10" x14ac:dyDescent="0.25">
      <c r="B475" s="1" t="s">
        <v>19</v>
      </c>
      <c r="C475" s="1" t="s">
        <v>27</v>
      </c>
      <c r="D475" s="5">
        <v>43159</v>
      </c>
      <c r="E475" s="5">
        <v>33509</v>
      </c>
      <c r="F475" s="1">
        <v>32800</v>
      </c>
      <c r="G475" s="6">
        <f t="shared" si="31"/>
        <v>9840</v>
      </c>
      <c r="H475" s="6">
        <f t="shared" si="32"/>
        <v>6560</v>
      </c>
      <c r="I475" s="6">
        <f t="shared" si="33"/>
        <v>3936</v>
      </c>
      <c r="J475" s="6">
        <f t="shared" si="34"/>
        <v>53136</v>
      </c>
    </row>
    <row r="476" spans="2:10" x14ac:dyDescent="0.25">
      <c r="B476" s="1" t="s">
        <v>19</v>
      </c>
      <c r="C476" s="1" t="s">
        <v>20</v>
      </c>
      <c r="D476" s="5">
        <v>43449</v>
      </c>
      <c r="E476" s="5">
        <v>33611</v>
      </c>
      <c r="F476" s="1">
        <v>31169</v>
      </c>
      <c r="G476" s="6">
        <f t="shared" si="31"/>
        <v>9350.6999999999989</v>
      </c>
      <c r="H476" s="6">
        <f t="shared" si="32"/>
        <v>6233.8</v>
      </c>
      <c r="I476" s="6">
        <f t="shared" si="33"/>
        <v>3740.2799999999997</v>
      </c>
      <c r="J476" s="6">
        <f t="shared" si="34"/>
        <v>50493.78</v>
      </c>
    </row>
    <row r="477" spans="2:10" x14ac:dyDescent="0.25">
      <c r="B477" s="1" t="s">
        <v>19</v>
      </c>
      <c r="C477" s="1" t="s">
        <v>32</v>
      </c>
      <c r="D477" s="5">
        <v>44301</v>
      </c>
      <c r="E477" s="5">
        <v>33237</v>
      </c>
      <c r="F477" s="1">
        <v>28093</v>
      </c>
      <c r="G477" s="6">
        <f t="shared" si="31"/>
        <v>8427.9</v>
      </c>
      <c r="H477" s="6">
        <f t="shared" si="32"/>
        <v>5618.6</v>
      </c>
      <c r="I477" s="6">
        <f t="shared" si="33"/>
        <v>3371.16</v>
      </c>
      <c r="J477" s="6">
        <f t="shared" si="34"/>
        <v>45510.66</v>
      </c>
    </row>
    <row r="478" spans="2:10" x14ac:dyDescent="0.25">
      <c r="B478" s="1" t="s">
        <v>19</v>
      </c>
      <c r="C478" s="1" t="s">
        <v>22</v>
      </c>
      <c r="D478" s="5">
        <v>43711</v>
      </c>
      <c r="E478" s="5">
        <v>33825</v>
      </c>
      <c r="F478" s="1">
        <v>29533</v>
      </c>
      <c r="G478" s="6">
        <f t="shared" si="31"/>
        <v>8859.9</v>
      </c>
      <c r="H478" s="6">
        <f t="shared" si="32"/>
        <v>5906.6</v>
      </c>
      <c r="I478" s="6">
        <f t="shared" si="33"/>
        <v>3543.96</v>
      </c>
      <c r="J478" s="6">
        <f t="shared" si="34"/>
        <v>47843.46</v>
      </c>
    </row>
    <row r="479" spans="2:10" x14ac:dyDescent="0.25">
      <c r="B479" s="1" t="s">
        <v>19</v>
      </c>
      <c r="C479" s="1" t="s">
        <v>23</v>
      </c>
      <c r="D479" s="5">
        <v>44368</v>
      </c>
      <c r="E479" s="5">
        <v>34362</v>
      </c>
      <c r="F479" s="1">
        <v>28537</v>
      </c>
      <c r="G479" s="6">
        <f t="shared" si="31"/>
        <v>8561.1</v>
      </c>
      <c r="H479" s="6">
        <f t="shared" si="32"/>
        <v>5707.4000000000005</v>
      </c>
      <c r="I479" s="6">
        <f t="shared" si="33"/>
        <v>3424.44</v>
      </c>
      <c r="J479" s="6">
        <f t="shared" si="34"/>
        <v>46229.94</v>
      </c>
    </row>
    <row r="480" spans="2:10" x14ac:dyDescent="0.25">
      <c r="B480" s="1" t="s">
        <v>19</v>
      </c>
      <c r="C480" s="1" t="s">
        <v>0</v>
      </c>
      <c r="D480" s="5">
        <v>44098</v>
      </c>
      <c r="E480" s="5">
        <v>33210</v>
      </c>
      <c r="F480" s="1">
        <v>26261</v>
      </c>
      <c r="G480" s="6">
        <f t="shared" si="31"/>
        <v>7878.2999999999993</v>
      </c>
      <c r="H480" s="6">
        <f t="shared" si="32"/>
        <v>5252.2000000000007</v>
      </c>
      <c r="I480" s="6">
        <f t="shared" si="33"/>
        <v>3151.3199999999997</v>
      </c>
      <c r="J480" s="6">
        <f t="shared" si="34"/>
        <v>42542.82</v>
      </c>
    </row>
    <row r="481" spans="2:10" x14ac:dyDescent="0.25">
      <c r="B481" s="1" t="s">
        <v>19</v>
      </c>
      <c r="C481" s="1" t="s">
        <v>34</v>
      </c>
      <c r="D481" s="5">
        <v>44861</v>
      </c>
      <c r="E481" s="5">
        <v>32491</v>
      </c>
      <c r="F481" s="1">
        <v>26960</v>
      </c>
      <c r="G481" s="6">
        <f t="shared" si="31"/>
        <v>8088</v>
      </c>
      <c r="H481" s="6">
        <f t="shared" si="32"/>
        <v>5392</v>
      </c>
      <c r="I481" s="6">
        <f t="shared" si="33"/>
        <v>3235.2</v>
      </c>
      <c r="J481" s="6">
        <f t="shared" si="34"/>
        <v>43675.199999999997</v>
      </c>
    </row>
    <row r="482" spans="2:10" x14ac:dyDescent="0.25">
      <c r="B482" s="1" t="s">
        <v>19</v>
      </c>
      <c r="C482" s="1" t="s">
        <v>30</v>
      </c>
      <c r="D482" s="5">
        <v>44575</v>
      </c>
      <c r="E482" s="5">
        <v>34971</v>
      </c>
      <c r="F482" s="1">
        <v>29949</v>
      </c>
      <c r="G482" s="6">
        <f t="shared" si="31"/>
        <v>8984.6999999999989</v>
      </c>
      <c r="H482" s="6">
        <f t="shared" si="32"/>
        <v>5989.8</v>
      </c>
      <c r="I482" s="6">
        <f t="shared" si="33"/>
        <v>3593.8799999999997</v>
      </c>
      <c r="J482" s="6">
        <f t="shared" si="34"/>
        <v>48517.38</v>
      </c>
    </row>
    <row r="483" spans="2:10" x14ac:dyDescent="0.25">
      <c r="B483" s="1" t="s">
        <v>19</v>
      </c>
      <c r="C483" s="1" t="s">
        <v>33</v>
      </c>
      <c r="D483" s="5">
        <v>43450</v>
      </c>
      <c r="E483" s="5">
        <v>34897</v>
      </c>
      <c r="F483" s="1">
        <v>31446</v>
      </c>
      <c r="G483" s="6">
        <f t="shared" si="31"/>
        <v>9433.7999999999993</v>
      </c>
      <c r="H483" s="6">
        <f t="shared" si="32"/>
        <v>6289.2000000000007</v>
      </c>
      <c r="I483" s="6">
        <f t="shared" si="33"/>
        <v>3773.52</v>
      </c>
      <c r="J483" s="6">
        <f t="shared" si="34"/>
        <v>50942.52</v>
      </c>
    </row>
    <row r="484" spans="2:10" x14ac:dyDescent="0.25">
      <c r="B484" s="1" t="s">
        <v>19</v>
      </c>
      <c r="C484" s="1" t="s">
        <v>29</v>
      </c>
      <c r="D484" s="5">
        <v>43219</v>
      </c>
      <c r="E484" s="5">
        <v>33119</v>
      </c>
      <c r="F484" s="1">
        <v>33030</v>
      </c>
      <c r="G484" s="6">
        <f t="shared" si="31"/>
        <v>9909</v>
      </c>
      <c r="H484" s="6">
        <f t="shared" si="32"/>
        <v>6606</v>
      </c>
      <c r="I484" s="6">
        <f t="shared" si="33"/>
        <v>3963.6</v>
      </c>
      <c r="J484" s="6">
        <f t="shared" si="34"/>
        <v>53508.6</v>
      </c>
    </row>
    <row r="485" spans="2:10" x14ac:dyDescent="0.25">
      <c r="B485" s="1" t="s">
        <v>19</v>
      </c>
      <c r="C485" s="1" t="s">
        <v>30</v>
      </c>
      <c r="D485" s="5">
        <v>44878</v>
      </c>
      <c r="E485" s="5">
        <v>32489</v>
      </c>
      <c r="F485" s="1">
        <v>29052</v>
      </c>
      <c r="G485" s="6">
        <f t="shared" si="31"/>
        <v>8715.6</v>
      </c>
      <c r="H485" s="6">
        <f t="shared" si="32"/>
        <v>5810.4000000000005</v>
      </c>
      <c r="I485" s="6">
        <f t="shared" si="33"/>
        <v>3486.24</v>
      </c>
      <c r="J485" s="6">
        <f t="shared" si="34"/>
        <v>47064.24</v>
      </c>
    </row>
    <row r="486" spans="2:10" x14ac:dyDescent="0.25">
      <c r="B486" s="1" t="s">
        <v>19</v>
      </c>
      <c r="C486" s="1" t="s">
        <v>33</v>
      </c>
      <c r="D486" s="5">
        <v>43477</v>
      </c>
      <c r="E486" s="5">
        <v>33854</v>
      </c>
      <c r="F486" s="1">
        <v>28652</v>
      </c>
      <c r="G486" s="6">
        <f t="shared" si="31"/>
        <v>8595.6</v>
      </c>
      <c r="H486" s="6">
        <f t="shared" si="32"/>
        <v>5730.4000000000005</v>
      </c>
      <c r="I486" s="6">
        <f t="shared" si="33"/>
        <v>3438.24</v>
      </c>
      <c r="J486" s="6">
        <f t="shared" si="34"/>
        <v>46416.24</v>
      </c>
    </row>
    <row r="487" spans="2:10" x14ac:dyDescent="0.25">
      <c r="B487" s="1" t="s">
        <v>19</v>
      </c>
      <c r="C487" s="1" t="s">
        <v>28</v>
      </c>
      <c r="D487" s="5">
        <v>43647</v>
      </c>
      <c r="E487" s="5">
        <v>34434</v>
      </c>
      <c r="F487" s="1">
        <v>29069</v>
      </c>
      <c r="G487" s="6">
        <f t="shared" si="31"/>
        <v>8720.6999999999989</v>
      </c>
      <c r="H487" s="6">
        <f t="shared" si="32"/>
        <v>5813.8</v>
      </c>
      <c r="I487" s="6">
        <f t="shared" si="33"/>
        <v>3488.2799999999997</v>
      </c>
      <c r="J487" s="6">
        <f t="shared" si="34"/>
        <v>47091.78</v>
      </c>
    </row>
    <row r="488" spans="2:10" x14ac:dyDescent="0.25">
      <c r="B488" s="1" t="s">
        <v>19</v>
      </c>
      <c r="C488" s="1" t="s">
        <v>0</v>
      </c>
      <c r="D488" s="5">
        <v>43171</v>
      </c>
      <c r="E488" s="5">
        <v>33883</v>
      </c>
      <c r="F488" s="1">
        <v>30333</v>
      </c>
      <c r="G488" s="6">
        <f t="shared" si="31"/>
        <v>9099.9</v>
      </c>
      <c r="H488" s="6">
        <f t="shared" si="32"/>
        <v>6066.6</v>
      </c>
      <c r="I488" s="6">
        <f t="shared" si="33"/>
        <v>3639.96</v>
      </c>
      <c r="J488" s="6">
        <f t="shared" si="34"/>
        <v>49139.46</v>
      </c>
    </row>
    <row r="489" spans="2:10" x14ac:dyDescent="0.25">
      <c r="B489" s="1" t="s">
        <v>19</v>
      </c>
      <c r="C489" s="1" t="s">
        <v>23</v>
      </c>
      <c r="D489" s="5">
        <v>44527</v>
      </c>
      <c r="E489" s="5">
        <v>34675</v>
      </c>
      <c r="F489" s="1">
        <v>25235</v>
      </c>
      <c r="G489" s="6">
        <f t="shared" si="31"/>
        <v>7570.5</v>
      </c>
      <c r="H489" s="6">
        <f t="shared" si="32"/>
        <v>5047</v>
      </c>
      <c r="I489" s="6">
        <f t="shared" si="33"/>
        <v>3028.2</v>
      </c>
      <c r="J489" s="6">
        <f t="shared" si="34"/>
        <v>40880.699999999997</v>
      </c>
    </row>
    <row r="490" spans="2:10" x14ac:dyDescent="0.25">
      <c r="B490" s="1" t="s">
        <v>19</v>
      </c>
      <c r="C490" s="1" t="s">
        <v>26</v>
      </c>
      <c r="D490" s="5">
        <v>43608</v>
      </c>
      <c r="E490" s="5">
        <v>33643</v>
      </c>
      <c r="F490" s="1">
        <v>32596</v>
      </c>
      <c r="G490" s="6">
        <f t="shared" si="31"/>
        <v>9778.7999999999993</v>
      </c>
      <c r="H490" s="6">
        <f t="shared" si="32"/>
        <v>6519.2000000000007</v>
      </c>
      <c r="I490" s="6">
        <f t="shared" si="33"/>
        <v>3911.52</v>
      </c>
      <c r="J490" s="6">
        <f t="shared" si="34"/>
        <v>52805.52</v>
      </c>
    </row>
    <row r="491" spans="2:10" x14ac:dyDescent="0.25">
      <c r="B491" s="1" t="s">
        <v>19</v>
      </c>
      <c r="C491" s="1" t="s">
        <v>37</v>
      </c>
      <c r="D491" s="5">
        <v>44055</v>
      </c>
      <c r="E491" s="5">
        <v>34279</v>
      </c>
      <c r="F491" s="1">
        <v>28782</v>
      </c>
      <c r="G491" s="6">
        <f t="shared" si="31"/>
        <v>8634.6</v>
      </c>
      <c r="H491" s="6">
        <f t="shared" si="32"/>
        <v>5756.4000000000005</v>
      </c>
      <c r="I491" s="6">
        <f t="shared" si="33"/>
        <v>3453.8399999999997</v>
      </c>
      <c r="J491" s="6">
        <f t="shared" si="34"/>
        <v>46626.84</v>
      </c>
    </row>
    <row r="492" spans="2:10" x14ac:dyDescent="0.25">
      <c r="B492" s="1" t="s">
        <v>19</v>
      </c>
      <c r="C492" s="1" t="s">
        <v>20</v>
      </c>
      <c r="D492" s="5">
        <v>43236</v>
      </c>
      <c r="E492" s="5">
        <v>32699</v>
      </c>
      <c r="F492" s="1">
        <v>26659</v>
      </c>
      <c r="G492" s="6">
        <f t="shared" si="31"/>
        <v>7997.7</v>
      </c>
      <c r="H492" s="6">
        <f t="shared" si="32"/>
        <v>5331.8</v>
      </c>
      <c r="I492" s="6">
        <f t="shared" si="33"/>
        <v>3199.08</v>
      </c>
      <c r="J492" s="6">
        <f t="shared" si="34"/>
        <v>43187.58</v>
      </c>
    </row>
    <row r="493" spans="2:10" x14ac:dyDescent="0.25">
      <c r="B493" s="1" t="s">
        <v>19</v>
      </c>
      <c r="C493" s="1" t="s">
        <v>30</v>
      </c>
      <c r="D493" s="5">
        <v>43555</v>
      </c>
      <c r="E493" s="5">
        <v>32949</v>
      </c>
      <c r="F493" s="1">
        <v>29039</v>
      </c>
      <c r="G493" s="6">
        <f t="shared" si="31"/>
        <v>8711.6999999999989</v>
      </c>
      <c r="H493" s="6">
        <f t="shared" si="32"/>
        <v>5807.8</v>
      </c>
      <c r="I493" s="6">
        <f t="shared" si="33"/>
        <v>3484.68</v>
      </c>
      <c r="J493" s="6">
        <f t="shared" si="34"/>
        <v>47043.18</v>
      </c>
    </row>
    <row r="494" spans="2:10" x14ac:dyDescent="0.25">
      <c r="B494" s="1" t="s">
        <v>19</v>
      </c>
      <c r="C494" s="1" t="s">
        <v>37</v>
      </c>
      <c r="D494" s="5">
        <v>43879</v>
      </c>
      <c r="E494" s="5">
        <v>33877</v>
      </c>
      <c r="F494" s="1">
        <v>27335</v>
      </c>
      <c r="G494" s="6">
        <f t="shared" si="31"/>
        <v>8200.5</v>
      </c>
      <c r="H494" s="6">
        <f t="shared" si="32"/>
        <v>5467</v>
      </c>
      <c r="I494" s="6">
        <f t="shared" si="33"/>
        <v>3280.2</v>
      </c>
      <c r="J494" s="6">
        <f t="shared" si="34"/>
        <v>44282.7</v>
      </c>
    </row>
    <row r="495" spans="2:10" x14ac:dyDescent="0.25">
      <c r="B495" s="1" t="s">
        <v>19</v>
      </c>
      <c r="C495" s="1" t="s">
        <v>34</v>
      </c>
      <c r="D495" s="5">
        <v>43221</v>
      </c>
      <c r="E495" s="5">
        <v>34513</v>
      </c>
      <c r="F495" s="1">
        <v>27226</v>
      </c>
      <c r="G495" s="6">
        <f t="shared" si="31"/>
        <v>8167.7999999999993</v>
      </c>
      <c r="H495" s="6">
        <f t="shared" si="32"/>
        <v>5445.2000000000007</v>
      </c>
      <c r="I495" s="6">
        <f t="shared" si="33"/>
        <v>3267.12</v>
      </c>
      <c r="J495" s="6">
        <f t="shared" si="34"/>
        <v>44106.12</v>
      </c>
    </row>
    <row r="496" spans="2:10" x14ac:dyDescent="0.25">
      <c r="B496" s="1" t="s">
        <v>19</v>
      </c>
      <c r="C496" s="1" t="s">
        <v>21</v>
      </c>
      <c r="D496" s="5">
        <v>43224</v>
      </c>
      <c r="E496" s="5">
        <v>32855</v>
      </c>
      <c r="F496" s="1">
        <v>27139</v>
      </c>
      <c r="G496" s="6">
        <f t="shared" si="31"/>
        <v>8141.7</v>
      </c>
      <c r="H496" s="6">
        <f t="shared" si="32"/>
        <v>5427.8</v>
      </c>
      <c r="I496" s="6">
        <f t="shared" si="33"/>
        <v>3256.68</v>
      </c>
      <c r="J496" s="6">
        <f t="shared" si="34"/>
        <v>43965.18</v>
      </c>
    </row>
    <row r="497" spans="2:10" x14ac:dyDescent="0.25">
      <c r="B497" s="1" t="s">
        <v>19</v>
      </c>
      <c r="C497" s="1" t="s">
        <v>0</v>
      </c>
      <c r="D497" s="5">
        <v>43325</v>
      </c>
      <c r="E497" s="5">
        <v>34873</v>
      </c>
      <c r="F497" s="1">
        <v>29570</v>
      </c>
      <c r="G497" s="6">
        <f t="shared" si="31"/>
        <v>8871</v>
      </c>
      <c r="H497" s="6">
        <f t="shared" si="32"/>
        <v>5914</v>
      </c>
      <c r="I497" s="6">
        <f t="shared" si="33"/>
        <v>3548.4</v>
      </c>
      <c r="J497" s="6">
        <f t="shared" si="34"/>
        <v>47903.4</v>
      </c>
    </row>
    <row r="498" spans="2:10" x14ac:dyDescent="0.25">
      <c r="B498" s="1" t="s">
        <v>19</v>
      </c>
      <c r="C498" s="1" t="s">
        <v>26</v>
      </c>
      <c r="D498" s="5">
        <v>43246</v>
      </c>
      <c r="E498" s="5">
        <v>32761</v>
      </c>
      <c r="F498" s="1">
        <v>29779</v>
      </c>
      <c r="G498" s="6">
        <f t="shared" si="31"/>
        <v>8933.6999999999989</v>
      </c>
      <c r="H498" s="6">
        <f t="shared" si="32"/>
        <v>5955.8</v>
      </c>
      <c r="I498" s="6">
        <f t="shared" si="33"/>
        <v>3573.48</v>
      </c>
      <c r="J498" s="6">
        <f t="shared" si="34"/>
        <v>48241.98</v>
      </c>
    </row>
    <row r="499" spans="2:10" x14ac:dyDescent="0.25">
      <c r="B499" s="1" t="s">
        <v>19</v>
      </c>
      <c r="C499" s="1" t="s">
        <v>30</v>
      </c>
      <c r="D499" s="5">
        <v>44754</v>
      </c>
      <c r="E499" s="5">
        <v>33447</v>
      </c>
      <c r="F499" s="1">
        <v>30448</v>
      </c>
      <c r="G499" s="6">
        <f t="shared" si="31"/>
        <v>9134.4</v>
      </c>
      <c r="H499" s="6">
        <f t="shared" si="32"/>
        <v>6089.6</v>
      </c>
      <c r="I499" s="6">
        <f t="shared" si="33"/>
        <v>3653.7599999999998</v>
      </c>
      <c r="J499" s="6">
        <f t="shared" si="34"/>
        <v>49325.760000000002</v>
      </c>
    </row>
    <row r="500" spans="2:10" x14ac:dyDescent="0.25">
      <c r="B500" s="1" t="s">
        <v>19</v>
      </c>
      <c r="C500" s="1" t="s">
        <v>36</v>
      </c>
      <c r="D500" s="5">
        <v>44314</v>
      </c>
      <c r="E500" s="5">
        <v>32194</v>
      </c>
      <c r="F500" s="1">
        <v>26409</v>
      </c>
      <c r="G500" s="6">
        <f t="shared" si="31"/>
        <v>7922.7</v>
      </c>
      <c r="H500" s="6">
        <f t="shared" si="32"/>
        <v>5281.8</v>
      </c>
      <c r="I500" s="6">
        <f t="shared" si="33"/>
        <v>3169.08</v>
      </c>
      <c r="J500" s="6">
        <f t="shared" si="34"/>
        <v>42782.58</v>
      </c>
    </row>
    <row r="501" spans="2:10" x14ac:dyDescent="0.25">
      <c r="B501" s="1" t="s">
        <v>19</v>
      </c>
      <c r="C501" s="1" t="s">
        <v>22</v>
      </c>
      <c r="D501" s="5">
        <v>44921</v>
      </c>
      <c r="E501" s="5">
        <v>35002</v>
      </c>
      <c r="F501" s="1">
        <v>34482</v>
      </c>
      <c r="G501" s="6">
        <f t="shared" si="31"/>
        <v>10344.6</v>
      </c>
      <c r="H501" s="6">
        <f t="shared" si="32"/>
        <v>6896.4000000000005</v>
      </c>
      <c r="I501" s="6">
        <f t="shared" si="33"/>
        <v>4137.84</v>
      </c>
      <c r="J501" s="6">
        <f t="shared" si="34"/>
        <v>55860.84</v>
      </c>
    </row>
    <row r="502" spans="2:10" x14ac:dyDescent="0.25">
      <c r="B502" s="1" t="s">
        <v>19</v>
      </c>
      <c r="C502" s="1" t="s">
        <v>30</v>
      </c>
      <c r="D502" s="5">
        <v>44145</v>
      </c>
      <c r="E502" s="5">
        <v>32374</v>
      </c>
      <c r="F502" s="1">
        <v>28575</v>
      </c>
      <c r="G502" s="6">
        <f t="shared" si="31"/>
        <v>8572.5</v>
      </c>
      <c r="H502" s="6">
        <f t="shared" si="32"/>
        <v>5715</v>
      </c>
      <c r="I502" s="6">
        <f t="shared" si="33"/>
        <v>3429</v>
      </c>
      <c r="J502" s="6">
        <f t="shared" si="34"/>
        <v>46291.5</v>
      </c>
    </row>
    <row r="503" spans="2:10" x14ac:dyDescent="0.25">
      <c r="B503" s="1" t="s">
        <v>19</v>
      </c>
      <c r="C503" s="1" t="s">
        <v>28</v>
      </c>
      <c r="D503" s="5">
        <v>44545</v>
      </c>
      <c r="E503" s="5">
        <v>34376</v>
      </c>
      <c r="F503" s="1">
        <v>28777</v>
      </c>
      <c r="G503" s="6">
        <f t="shared" si="31"/>
        <v>8633.1</v>
      </c>
      <c r="H503" s="6">
        <f t="shared" si="32"/>
        <v>5755.4000000000005</v>
      </c>
      <c r="I503" s="6">
        <f t="shared" si="33"/>
        <v>3453.24</v>
      </c>
      <c r="J503" s="6">
        <f t="shared" si="34"/>
        <v>46618.74</v>
      </c>
    </row>
    <row r="504" spans="2:10" x14ac:dyDescent="0.25">
      <c r="B504" s="1" t="s">
        <v>19</v>
      </c>
      <c r="C504" s="1" t="s">
        <v>21</v>
      </c>
      <c r="D504" s="5">
        <v>44529</v>
      </c>
      <c r="E504" s="5">
        <v>33705</v>
      </c>
      <c r="F504" s="1">
        <v>27675</v>
      </c>
      <c r="G504" s="6">
        <f t="shared" si="31"/>
        <v>8302.5</v>
      </c>
      <c r="H504" s="6">
        <f t="shared" si="32"/>
        <v>5535</v>
      </c>
      <c r="I504" s="6">
        <f t="shared" si="33"/>
        <v>3321</v>
      </c>
      <c r="J504" s="6">
        <f t="shared" si="34"/>
        <v>44833.5</v>
      </c>
    </row>
    <row r="505" spans="2:10" x14ac:dyDescent="0.25">
      <c r="B505" s="1" t="s">
        <v>19</v>
      </c>
      <c r="C505" s="1" t="s">
        <v>29</v>
      </c>
      <c r="D505" s="5">
        <v>44170</v>
      </c>
      <c r="E505" s="5">
        <v>33132</v>
      </c>
      <c r="F505" s="1">
        <v>34337</v>
      </c>
      <c r="G505" s="6">
        <f t="shared" si="31"/>
        <v>10301.1</v>
      </c>
      <c r="H505" s="6">
        <f t="shared" si="32"/>
        <v>6867.4000000000005</v>
      </c>
      <c r="I505" s="6">
        <f t="shared" si="33"/>
        <v>4120.4399999999996</v>
      </c>
      <c r="J505" s="6">
        <f t="shared" si="34"/>
        <v>55625.94</v>
      </c>
    </row>
    <row r="506" spans="2:10" x14ac:dyDescent="0.25">
      <c r="B506" s="1" t="s">
        <v>19</v>
      </c>
      <c r="C506" s="1" t="s">
        <v>27</v>
      </c>
      <c r="D506" s="5">
        <v>44332</v>
      </c>
      <c r="E506" s="5">
        <v>32820</v>
      </c>
      <c r="F506" s="1">
        <v>29597</v>
      </c>
      <c r="G506" s="6">
        <f t="shared" si="31"/>
        <v>8879.1</v>
      </c>
      <c r="H506" s="6">
        <f t="shared" si="32"/>
        <v>5919.4000000000005</v>
      </c>
      <c r="I506" s="6">
        <f t="shared" si="33"/>
        <v>3551.64</v>
      </c>
      <c r="J506" s="6">
        <f t="shared" si="34"/>
        <v>47947.14</v>
      </c>
    </row>
    <row r="507" spans="2:10" x14ac:dyDescent="0.25">
      <c r="B507" s="1" t="s">
        <v>19</v>
      </c>
      <c r="C507" s="1" t="s">
        <v>24</v>
      </c>
      <c r="D507" s="5">
        <v>43209</v>
      </c>
      <c r="E507" s="5">
        <v>33788</v>
      </c>
      <c r="F507" s="1">
        <v>34122</v>
      </c>
      <c r="G507" s="6">
        <f t="shared" si="31"/>
        <v>10236.6</v>
      </c>
      <c r="H507" s="6">
        <f t="shared" si="32"/>
        <v>6824.4000000000005</v>
      </c>
      <c r="I507" s="6">
        <f t="shared" si="33"/>
        <v>4094.64</v>
      </c>
      <c r="J507" s="6">
        <f t="shared" si="34"/>
        <v>55277.64</v>
      </c>
    </row>
    <row r="508" spans="2:10" x14ac:dyDescent="0.25">
      <c r="B508" s="1" t="s">
        <v>19</v>
      </c>
      <c r="C508" s="1" t="s">
        <v>31</v>
      </c>
      <c r="D508" s="5">
        <v>43892</v>
      </c>
      <c r="E508" s="5">
        <v>34596</v>
      </c>
      <c r="F508" s="1">
        <v>31131</v>
      </c>
      <c r="G508" s="6">
        <f t="shared" si="31"/>
        <v>9339.2999999999993</v>
      </c>
      <c r="H508" s="6">
        <f t="shared" si="32"/>
        <v>6226.2000000000007</v>
      </c>
      <c r="I508" s="6">
        <f t="shared" si="33"/>
        <v>3735.72</v>
      </c>
      <c r="J508" s="6">
        <f t="shared" si="34"/>
        <v>50432.22</v>
      </c>
    </row>
    <row r="509" spans="2:10" x14ac:dyDescent="0.25">
      <c r="B509" s="1" t="s">
        <v>19</v>
      </c>
      <c r="C509" s="1" t="s">
        <v>28</v>
      </c>
      <c r="D509" s="5">
        <v>44361</v>
      </c>
      <c r="E509" s="5">
        <v>33792</v>
      </c>
      <c r="F509" s="1">
        <v>25867</v>
      </c>
      <c r="G509" s="6">
        <f t="shared" si="31"/>
        <v>7760.0999999999995</v>
      </c>
      <c r="H509" s="6">
        <f t="shared" si="32"/>
        <v>5173.4000000000005</v>
      </c>
      <c r="I509" s="6">
        <f t="shared" si="33"/>
        <v>3104.04</v>
      </c>
      <c r="J509" s="6">
        <f t="shared" si="34"/>
        <v>41904.54</v>
      </c>
    </row>
    <row r="510" spans="2:10" x14ac:dyDescent="0.25">
      <c r="B510" s="1" t="s">
        <v>19</v>
      </c>
      <c r="C510" s="1" t="s">
        <v>31</v>
      </c>
      <c r="D510" s="5">
        <v>43844</v>
      </c>
      <c r="E510" s="5">
        <v>34726</v>
      </c>
      <c r="F510" s="1">
        <v>30497</v>
      </c>
      <c r="G510" s="6">
        <f t="shared" si="31"/>
        <v>9149.1</v>
      </c>
      <c r="H510" s="6">
        <f t="shared" si="32"/>
        <v>6099.4000000000005</v>
      </c>
      <c r="I510" s="6">
        <f t="shared" si="33"/>
        <v>3659.64</v>
      </c>
      <c r="J510" s="6">
        <f t="shared" si="34"/>
        <v>49405.14</v>
      </c>
    </row>
    <row r="511" spans="2:10" x14ac:dyDescent="0.25">
      <c r="B511" s="1" t="s">
        <v>19</v>
      </c>
      <c r="C511" s="1" t="s">
        <v>33</v>
      </c>
      <c r="D511" s="5">
        <v>44686</v>
      </c>
      <c r="E511" s="5">
        <v>32343</v>
      </c>
      <c r="F511" s="1">
        <v>25854</v>
      </c>
      <c r="G511" s="6">
        <f t="shared" si="31"/>
        <v>7756.2</v>
      </c>
      <c r="H511" s="6">
        <f t="shared" si="32"/>
        <v>5170.8</v>
      </c>
      <c r="I511" s="6">
        <f t="shared" si="33"/>
        <v>3102.48</v>
      </c>
      <c r="J511" s="6">
        <f t="shared" si="34"/>
        <v>41883.480000000003</v>
      </c>
    </row>
    <row r="512" spans="2:10" x14ac:dyDescent="0.25">
      <c r="B512" s="1" t="s">
        <v>19</v>
      </c>
      <c r="C512" s="1" t="s">
        <v>35</v>
      </c>
      <c r="D512" s="5">
        <v>43334</v>
      </c>
      <c r="E512" s="5">
        <v>32345</v>
      </c>
      <c r="F512" s="1">
        <v>32837</v>
      </c>
      <c r="G512" s="6">
        <f t="shared" si="31"/>
        <v>9851.1</v>
      </c>
      <c r="H512" s="6">
        <f t="shared" si="32"/>
        <v>6567.4000000000005</v>
      </c>
      <c r="I512" s="6">
        <f t="shared" si="33"/>
        <v>3940.44</v>
      </c>
      <c r="J512" s="6">
        <f t="shared" si="34"/>
        <v>53195.94</v>
      </c>
    </row>
    <row r="513" spans="2:10" x14ac:dyDescent="0.25">
      <c r="B513" s="1" t="s">
        <v>19</v>
      </c>
      <c r="C513" s="1" t="s">
        <v>30</v>
      </c>
      <c r="D513" s="5">
        <v>44342</v>
      </c>
      <c r="E513" s="5">
        <v>33795</v>
      </c>
      <c r="F513" s="1">
        <v>31781</v>
      </c>
      <c r="G513" s="6">
        <f t="shared" si="31"/>
        <v>9534.2999999999993</v>
      </c>
      <c r="H513" s="6">
        <f t="shared" si="32"/>
        <v>6356.2000000000007</v>
      </c>
      <c r="I513" s="6">
        <f t="shared" si="33"/>
        <v>3813.72</v>
      </c>
      <c r="J513" s="6">
        <f t="shared" si="34"/>
        <v>51485.22</v>
      </c>
    </row>
    <row r="514" spans="2:10" x14ac:dyDescent="0.25">
      <c r="B514" s="1" t="s">
        <v>19</v>
      </c>
      <c r="C514" s="1" t="s">
        <v>30</v>
      </c>
      <c r="D514" s="5">
        <v>43455</v>
      </c>
      <c r="E514" s="5">
        <v>34677</v>
      </c>
      <c r="F514" s="1">
        <v>26836</v>
      </c>
      <c r="G514" s="6">
        <f t="shared" si="31"/>
        <v>8050.7999999999993</v>
      </c>
      <c r="H514" s="6">
        <f t="shared" si="32"/>
        <v>5367.2000000000007</v>
      </c>
      <c r="I514" s="6">
        <f t="shared" si="33"/>
        <v>3220.3199999999997</v>
      </c>
      <c r="J514" s="6">
        <f t="shared" si="34"/>
        <v>43474.32</v>
      </c>
    </row>
    <row r="515" spans="2:10" x14ac:dyDescent="0.25">
      <c r="B515" s="1" t="s">
        <v>19</v>
      </c>
      <c r="C515" s="1" t="s">
        <v>35</v>
      </c>
      <c r="D515" s="5">
        <v>44497</v>
      </c>
      <c r="E515" s="5">
        <v>34921</v>
      </c>
      <c r="F515" s="1">
        <v>27231</v>
      </c>
      <c r="G515" s="6">
        <f t="shared" si="31"/>
        <v>8169.2999999999993</v>
      </c>
      <c r="H515" s="6">
        <f t="shared" si="32"/>
        <v>5446.2000000000007</v>
      </c>
      <c r="I515" s="6">
        <f t="shared" si="33"/>
        <v>3267.72</v>
      </c>
      <c r="J515" s="6">
        <f t="shared" si="34"/>
        <v>44114.22</v>
      </c>
    </row>
    <row r="516" spans="2:10" x14ac:dyDescent="0.25">
      <c r="B516" s="1" t="s">
        <v>19</v>
      </c>
      <c r="C516" s="1" t="s">
        <v>0</v>
      </c>
      <c r="D516" s="5">
        <v>43585</v>
      </c>
      <c r="E516" s="5">
        <v>32329</v>
      </c>
      <c r="F516" s="1">
        <v>30692</v>
      </c>
      <c r="G516" s="6">
        <f t="shared" si="31"/>
        <v>9207.6</v>
      </c>
      <c r="H516" s="6">
        <f t="shared" si="32"/>
        <v>6138.4000000000005</v>
      </c>
      <c r="I516" s="6">
        <f t="shared" si="33"/>
        <v>3683.04</v>
      </c>
      <c r="J516" s="6">
        <f t="shared" si="34"/>
        <v>49721.04</v>
      </c>
    </row>
    <row r="517" spans="2:10" x14ac:dyDescent="0.25">
      <c r="B517" s="1" t="s">
        <v>19</v>
      </c>
      <c r="C517" s="1" t="s">
        <v>23</v>
      </c>
      <c r="D517" s="5">
        <v>43637</v>
      </c>
      <c r="E517" s="5">
        <v>33530</v>
      </c>
      <c r="F517" s="1">
        <v>34854</v>
      </c>
      <c r="G517" s="6">
        <f t="shared" si="31"/>
        <v>10456.199999999999</v>
      </c>
      <c r="H517" s="6">
        <f t="shared" si="32"/>
        <v>6970.8</v>
      </c>
      <c r="I517" s="6">
        <f t="shared" si="33"/>
        <v>4182.4799999999996</v>
      </c>
      <c r="J517" s="6">
        <f t="shared" si="34"/>
        <v>56463.479999999996</v>
      </c>
    </row>
    <row r="518" spans="2:10" x14ac:dyDescent="0.25">
      <c r="B518" s="1" t="s">
        <v>19</v>
      </c>
      <c r="C518" s="1" t="s">
        <v>28</v>
      </c>
      <c r="D518" s="5">
        <v>44712</v>
      </c>
      <c r="E518" s="5">
        <v>32839</v>
      </c>
      <c r="F518" s="1">
        <v>30868</v>
      </c>
      <c r="G518" s="6">
        <f t="shared" si="31"/>
        <v>9260.4</v>
      </c>
      <c r="H518" s="6">
        <f t="shared" si="32"/>
        <v>6173.6</v>
      </c>
      <c r="I518" s="6">
        <f t="shared" si="33"/>
        <v>3704.16</v>
      </c>
      <c r="J518" s="6">
        <f t="shared" si="34"/>
        <v>50006.16</v>
      </c>
    </row>
    <row r="519" spans="2:10" x14ac:dyDescent="0.25">
      <c r="B519" s="1" t="s">
        <v>19</v>
      </c>
      <c r="C519" s="1" t="s">
        <v>35</v>
      </c>
      <c r="D519" s="5">
        <v>44361</v>
      </c>
      <c r="E519" s="5">
        <v>34955</v>
      </c>
      <c r="F519" s="1">
        <v>27027</v>
      </c>
      <c r="G519" s="6">
        <f t="shared" ref="G519:G582" si="35">F519*0.3</f>
        <v>8108.0999999999995</v>
      </c>
      <c r="H519" s="6">
        <f t="shared" si="32"/>
        <v>5405.4000000000005</v>
      </c>
      <c r="I519" s="6">
        <f t="shared" si="33"/>
        <v>3243.24</v>
      </c>
      <c r="J519" s="6">
        <f t="shared" si="34"/>
        <v>43783.74</v>
      </c>
    </row>
    <row r="520" spans="2:10" x14ac:dyDescent="0.25">
      <c r="B520" s="1" t="s">
        <v>19</v>
      </c>
      <c r="C520" s="1" t="s">
        <v>31</v>
      </c>
      <c r="D520" s="5">
        <v>44899</v>
      </c>
      <c r="E520" s="5">
        <v>34808</v>
      </c>
      <c r="F520" s="1">
        <v>32610</v>
      </c>
      <c r="G520" s="6">
        <f t="shared" si="35"/>
        <v>9783</v>
      </c>
      <c r="H520" s="6">
        <f t="shared" si="32"/>
        <v>6522</v>
      </c>
      <c r="I520" s="6">
        <f t="shared" si="33"/>
        <v>3913.2</v>
      </c>
      <c r="J520" s="6">
        <f t="shared" si="34"/>
        <v>52828.2</v>
      </c>
    </row>
    <row r="521" spans="2:10" x14ac:dyDescent="0.25">
      <c r="B521" s="1" t="s">
        <v>19</v>
      </c>
      <c r="C521" s="1" t="s">
        <v>32</v>
      </c>
      <c r="D521" s="5">
        <v>43255</v>
      </c>
      <c r="E521" s="5">
        <v>33124</v>
      </c>
      <c r="F521" s="1">
        <v>33894</v>
      </c>
      <c r="G521" s="6">
        <f t="shared" si="35"/>
        <v>10168.199999999999</v>
      </c>
      <c r="H521" s="6">
        <f t="shared" si="32"/>
        <v>6778.8</v>
      </c>
      <c r="I521" s="6">
        <f t="shared" si="33"/>
        <v>4067.2799999999997</v>
      </c>
      <c r="J521" s="6">
        <f t="shared" si="34"/>
        <v>54908.28</v>
      </c>
    </row>
    <row r="522" spans="2:10" x14ac:dyDescent="0.25">
      <c r="B522" s="1" t="s">
        <v>19</v>
      </c>
      <c r="C522" s="1" t="s">
        <v>30</v>
      </c>
      <c r="D522" s="5">
        <v>44809</v>
      </c>
      <c r="E522" s="5">
        <v>34752</v>
      </c>
      <c r="F522" s="1">
        <v>30447</v>
      </c>
      <c r="G522" s="6">
        <f t="shared" si="35"/>
        <v>9134.1</v>
      </c>
      <c r="H522" s="6">
        <f t="shared" si="32"/>
        <v>6089.4000000000005</v>
      </c>
      <c r="I522" s="6">
        <f t="shared" si="33"/>
        <v>3653.64</v>
      </c>
      <c r="J522" s="6">
        <f t="shared" si="34"/>
        <v>49324.14</v>
      </c>
    </row>
    <row r="523" spans="2:10" x14ac:dyDescent="0.25">
      <c r="B523" s="1" t="s">
        <v>19</v>
      </c>
      <c r="C523" s="1" t="s">
        <v>0</v>
      </c>
      <c r="D523" s="5">
        <v>43934</v>
      </c>
      <c r="E523" s="5">
        <v>33889</v>
      </c>
      <c r="F523" s="1">
        <v>26789</v>
      </c>
      <c r="G523" s="6">
        <f t="shared" si="35"/>
        <v>8036.7</v>
      </c>
      <c r="H523" s="6">
        <f t="shared" si="32"/>
        <v>5357.8</v>
      </c>
      <c r="I523" s="6">
        <f t="shared" si="33"/>
        <v>3214.68</v>
      </c>
      <c r="J523" s="6">
        <f t="shared" si="34"/>
        <v>43398.18</v>
      </c>
    </row>
    <row r="524" spans="2:10" x14ac:dyDescent="0.25">
      <c r="B524" s="1" t="s">
        <v>19</v>
      </c>
      <c r="C524" s="1" t="s">
        <v>22</v>
      </c>
      <c r="D524" s="5">
        <v>43529</v>
      </c>
      <c r="E524" s="5">
        <v>33253</v>
      </c>
      <c r="F524" s="1">
        <v>29647</v>
      </c>
      <c r="G524" s="6">
        <f t="shared" si="35"/>
        <v>8894.1</v>
      </c>
      <c r="H524" s="6">
        <f t="shared" si="32"/>
        <v>5929.4000000000005</v>
      </c>
      <c r="I524" s="6">
        <f t="shared" si="33"/>
        <v>3557.64</v>
      </c>
      <c r="J524" s="6">
        <f t="shared" si="34"/>
        <v>48028.14</v>
      </c>
    </row>
    <row r="525" spans="2:10" x14ac:dyDescent="0.25">
      <c r="B525" s="1" t="s">
        <v>19</v>
      </c>
      <c r="C525" s="1" t="s">
        <v>27</v>
      </c>
      <c r="D525" s="5">
        <v>44417</v>
      </c>
      <c r="E525" s="5">
        <v>33756</v>
      </c>
      <c r="F525" s="1">
        <v>33251</v>
      </c>
      <c r="G525" s="6">
        <f t="shared" si="35"/>
        <v>9975.2999999999993</v>
      </c>
      <c r="H525" s="6">
        <f t="shared" ref="H525:H588" si="36">F525*20%</f>
        <v>6650.2000000000007</v>
      </c>
      <c r="I525" s="6">
        <f t="shared" ref="I525:I588" si="37">F525*12%</f>
        <v>3990.12</v>
      </c>
      <c r="J525" s="6">
        <f t="shared" ref="J525:J588" si="38">SUM(F525:I525)</f>
        <v>53866.62</v>
      </c>
    </row>
    <row r="526" spans="2:10" x14ac:dyDescent="0.25">
      <c r="B526" s="1" t="s">
        <v>19</v>
      </c>
      <c r="C526" s="1" t="s">
        <v>34</v>
      </c>
      <c r="D526" s="5">
        <v>43973</v>
      </c>
      <c r="E526" s="5">
        <v>33153</v>
      </c>
      <c r="F526" s="1">
        <v>33787</v>
      </c>
      <c r="G526" s="6">
        <f t="shared" si="35"/>
        <v>10136.1</v>
      </c>
      <c r="H526" s="6">
        <f t="shared" si="36"/>
        <v>6757.4000000000005</v>
      </c>
      <c r="I526" s="6">
        <f t="shared" si="37"/>
        <v>4054.44</v>
      </c>
      <c r="J526" s="6">
        <f t="shared" si="38"/>
        <v>54734.94</v>
      </c>
    </row>
    <row r="527" spans="2:10" x14ac:dyDescent="0.25">
      <c r="B527" s="1" t="s">
        <v>19</v>
      </c>
      <c r="C527" s="1" t="s">
        <v>20</v>
      </c>
      <c r="D527" s="5">
        <v>43451</v>
      </c>
      <c r="E527" s="5">
        <v>33940</v>
      </c>
      <c r="F527" s="1">
        <v>28561</v>
      </c>
      <c r="G527" s="6">
        <f t="shared" si="35"/>
        <v>8568.2999999999993</v>
      </c>
      <c r="H527" s="6">
        <f t="shared" si="36"/>
        <v>5712.2000000000007</v>
      </c>
      <c r="I527" s="6">
        <f t="shared" si="37"/>
        <v>3427.3199999999997</v>
      </c>
      <c r="J527" s="6">
        <f t="shared" si="38"/>
        <v>46268.82</v>
      </c>
    </row>
    <row r="528" spans="2:10" x14ac:dyDescent="0.25">
      <c r="B528" s="1" t="s">
        <v>19</v>
      </c>
      <c r="C528" s="1" t="s">
        <v>23</v>
      </c>
      <c r="D528" s="5">
        <v>44742</v>
      </c>
      <c r="E528" s="5">
        <v>33990</v>
      </c>
      <c r="F528" s="1">
        <v>33095</v>
      </c>
      <c r="G528" s="6">
        <f t="shared" si="35"/>
        <v>9928.5</v>
      </c>
      <c r="H528" s="6">
        <f t="shared" si="36"/>
        <v>6619</v>
      </c>
      <c r="I528" s="6">
        <f t="shared" si="37"/>
        <v>3971.3999999999996</v>
      </c>
      <c r="J528" s="6">
        <f t="shared" si="38"/>
        <v>53613.9</v>
      </c>
    </row>
    <row r="529" spans="2:10" x14ac:dyDescent="0.25">
      <c r="B529" s="1" t="s">
        <v>19</v>
      </c>
      <c r="C529" s="1" t="s">
        <v>0</v>
      </c>
      <c r="D529" s="5">
        <v>44640</v>
      </c>
      <c r="E529" s="5">
        <v>32259</v>
      </c>
      <c r="F529" s="1">
        <v>33624</v>
      </c>
      <c r="G529" s="6">
        <f t="shared" si="35"/>
        <v>10087.199999999999</v>
      </c>
      <c r="H529" s="6">
        <f t="shared" si="36"/>
        <v>6724.8</v>
      </c>
      <c r="I529" s="6">
        <f t="shared" si="37"/>
        <v>4034.8799999999997</v>
      </c>
      <c r="J529" s="6">
        <f t="shared" si="38"/>
        <v>54470.879999999997</v>
      </c>
    </row>
    <row r="530" spans="2:10" x14ac:dyDescent="0.25">
      <c r="B530" s="1" t="s">
        <v>19</v>
      </c>
      <c r="C530" s="1" t="s">
        <v>28</v>
      </c>
      <c r="D530" s="5">
        <v>44051</v>
      </c>
      <c r="E530" s="5">
        <v>32511</v>
      </c>
      <c r="F530" s="1">
        <v>27947</v>
      </c>
      <c r="G530" s="6">
        <f t="shared" si="35"/>
        <v>8384.1</v>
      </c>
      <c r="H530" s="6">
        <f t="shared" si="36"/>
        <v>5589.4000000000005</v>
      </c>
      <c r="I530" s="6">
        <f t="shared" si="37"/>
        <v>3353.64</v>
      </c>
      <c r="J530" s="6">
        <f t="shared" si="38"/>
        <v>45274.14</v>
      </c>
    </row>
    <row r="531" spans="2:10" x14ac:dyDescent="0.25">
      <c r="B531" s="1" t="s">
        <v>19</v>
      </c>
      <c r="C531" s="1" t="s">
        <v>27</v>
      </c>
      <c r="D531" s="5">
        <v>43531</v>
      </c>
      <c r="E531" s="5">
        <v>34297</v>
      </c>
      <c r="F531" s="1">
        <v>29908</v>
      </c>
      <c r="G531" s="6">
        <f t="shared" si="35"/>
        <v>8972.4</v>
      </c>
      <c r="H531" s="6">
        <f t="shared" si="36"/>
        <v>5981.6</v>
      </c>
      <c r="I531" s="6">
        <f t="shared" si="37"/>
        <v>3588.96</v>
      </c>
      <c r="J531" s="6">
        <f t="shared" si="38"/>
        <v>48450.96</v>
      </c>
    </row>
    <row r="532" spans="2:10" x14ac:dyDescent="0.25">
      <c r="B532" s="1" t="s">
        <v>19</v>
      </c>
      <c r="C532" s="1" t="s">
        <v>25</v>
      </c>
      <c r="D532" s="5">
        <v>43970</v>
      </c>
      <c r="E532" s="5">
        <v>34700</v>
      </c>
      <c r="F532" s="1">
        <v>31209</v>
      </c>
      <c r="G532" s="6">
        <f t="shared" si="35"/>
        <v>9362.6999999999989</v>
      </c>
      <c r="H532" s="6">
        <f t="shared" si="36"/>
        <v>6241.8</v>
      </c>
      <c r="I532" s="6">
        <f t="shared" si="37"/>
        <v>3745.08</v>
      </c>
      <c r="J532" s="6">
        <f t="shared" si="38"/>
        <v>50558.58</v>
      </c>
    </row>
    <row r="533" spans="2:10" x14ac:dyDescent="0.25">
      <c r="B533" s="1" t="s">
        <v>19</v>
      </c>
      <c r="C533" s="1" t="s">
        <v>25</v>
      </c>
      <c r="D533" s="5">
        <v>43967</v>
      </c>
      <c r="E533" s="5">
        <v>32207</v>
      </c>
      <c r="F533" s="1">
        <v>29679</v>
      </c>
      <c r="G533" s="6">
        <f t="shared" si="35"/>
        <v>8903.6999999999989</v>
      </c>
      <c r="H533" s="6">
        <f t="shared" si="36"/>
        <v>5935.8</v>
      </c>
      <c r="I533" s="6">
        <f t="shared" si="37"/>
        <v>3561.48</v>
      </c>
      <c r="J533" s="6">
        <f t="shared" si="38"/>
        <v>48079.98</v>
      </c>
    </row>
    <row r="534" spans="2:10" x14ac:dyDescent="0.25">
      <c r="B534" s="1" t="s">
        <v>19</v>
      </c>
      <c r="C534" s="1" t="s">
        <v>25</v>
      </c>
      <c r="D534" s="5">
        <v>43189</v>
      </c>
      <c r="E534" s="5">
        <v>33396</v>
      </c>
      <c r="F534" s="1">
        <v>34752</v>
      </c>
      <c r="G534" s="6">
        <f t="shared" si="35"/>
        <v>10425.6</v>
      </c>
      <c r="H534" s="6">
        <f t="shared" si="36"/>
        <v>6950.4000000000005</v>
      </c>
      <c r="I534" s="6">
        <f t="shared" si="37"/>
        <v>4170.24</v>
      </c>
      <c r="J534" s="6">
        <f t="shared" si="38"/>
        <v>56298.239999999998</v>
      </c>
    </row>
    <row r="535" spans="2:10" x14ac:dyDescent="0.25">
      <c r="B535" s="1" t="s">
        <v>19</v>
      </c>
      <c r="C535" s="1" t="s">
        <v>29</v>
      </c>
      <c r="D535" s="5">
        <v>43771</v>
      </c>
      <c r="E535" s="5">
        <v>34553</v>
      </c>
      <c r="F535" s="1">
        <v>33604</v>
      </c>
      <c r="G535" s="6">
        <f t="shared" si="35"/>
        <v>10081.199999999999</v>
      </c>
      <c r="H535" s="6">
        <f t="shared" si="36"/>
        <v>6720.8</v>
      </c>
      <c r="I535" s="6">
        <f t="shared" si="37"/>
        <v>4032.48</v>
      </c>
      <c r="J535" s="6">
        <f t="shared" si="38"/>
        <v>54438.48</v>
      </c>
    </row>
    <row r="536" spans="2:10" x14ac:dyDescent="0.25">
      <c r="B536" s="1" t="s">
        <v>19</v>
      </c>
      <c r="C536" s="1" t="s">
        <v>32</v>
      </c>
      <c r="D536" s="5">
        <v>43152</v>
      </c>
      <c r="E536" s="5">
        <v>33517</v>
      </c>
      <c r="F536" s="1">
        <v>27764</v>
      </c>
      <c r="G536" s="6">
        <f t="shared" si="35"/>
        <v>8329.1999999999989</v>
      </c>
      <c r="H536" s="6">
        <f t="shared" si="36"/>
        <v>5552.8</v>
      </c>
      <c r="I536" s="6">
        <f t="shared" si="37"/>
        <v>3331.68</v>
      </c>
      <c r="J536" s="6">
        <f t="shared" si="38"/>
        <v>44977.68</v>
      </c>
    </row>
    <row r="537" spans="2:10" x14ac:dyDescent="0.25">
      <c r="B537" s="1" t="s">
        <v>19</v>
      </c>
      <c r="C537" s="1" t="s">
        <v>34</v>
      </c>
      <c r="D537" s="5">
        <v>44255</v>
      </c>
      <c r="E537" s="5">
        <v>34163</v>
      </c>
      <c r="F537" s="1">
        <v>33121</v>
      </c>
      <c r="G537" s="6">
        <f t="shared" si="35"/>
        <v>9936.2999999999993</v>
      </c>
      <c r="H537" s="6">
        <f t="shared" si="36"/>
        <v>6624.2000000000007</v>
      </c>
      <c r="I537" s="6">
        <f t="shared" si="37"/>
        <v>3974.52</v>
      </c>
      <c r="J537" s="6">
        <f t="shared" si="38"/>
        <v>53656.02</v>
      </c>
    </row>
    <row r="538" spans="2:10" x14ac:dyDescent="0.25">
      <c r="B538" s="1" t="s">
        <v>19</v>
      </c>
      <c r="C538" s="1" t="s">
        <v>37</v>
      </c>
      <c r="D538" s="5">
        <v>43531</v>
      </c>
      <c r="E538" s="5">
        <v>33163</v>
      </c>
      <c r="F538" s="1">
        <v>34114</v>
      </c>
      <c r="G538" s="6">
        <f t="shared" si="35"/>
        <v>10234.199999999999</v>
      </c>
      <c r="H538" s="6">
        <f t="shared" si="36"/>
        <v>6822.8</v>
      </c>
      <c r="I538" s="6">
        <f t="shared" si="37"/>
        <v>4093.68</v>
      </c>
      <c r="J538" s="6">
        <f t="shared" si="38"/>
        <v>55264.68</v>
      </c>
    </row>
    <row r="539" spans="2:10" x14ac:dyDescent="0.25">
      <c r="B539" s="1" t="s">
        <v>19</v>
      </c>
      <c r="C539" s="1" t="s">
        <v>23</v>
      </c>
      <c r="D539" s="5">
        <v>44015</v>
      </c>
      <c r="E539" s="5">
        <v>33986</v>
      </c>
      <c r="F539" s="1">
        <v>25026</v>
      </c>
      <c r="G539" s="6">
        <f t="shared" si="35"/>
        <v>7507.7999999999993</v>
      </c>
      <c r="H539" s="6">
        <f t="shared" si="36"/>
        <v>5005.2000000000007</v>
      </c>
      <c r="I539" s="6">
        <f t="shared" si="37"/>
        <v>3003.12</v>
      </c>
      <c r="J539" s="6">
        <f t="shared" si="38"/>
        <v>40542.120000000003</v>
      </c>
    </row>
    <row r="540" spans="2:10" x14ac:dyDescent="0.25">
      <c r="B540" s="1" t="s">
        <v>19</v>
      </c>
      <c r="C540" s="1" t="s">
        <v>30</v>
      </c>
      <c r="D540" s="5">
        <v>43665</v>
      </c>
      <c r="E540" s="5">
        <v>32550</v>
      </c>
      <c r="F540" s="1">
        <v>31922</v>
      </c>
      <c r="G540" s="6">
        <f t="shared" si="35"/>
        <v>9576.6</v>
      </c>
      <c r="H540" s="6">
        <f t="shared" si="36"/>
        <v>6384.4000000000005</v>
      </c>
      <c r="I540" s="6">
        <f t="shared" si="37"/>
        <v>3830.64</v>
      </c>
      <c r="J540" s="6">
        <f t="shared" si="38"/>
        <v>51713.64</v>
      </c>
    </row>
    <row r="541" spans="2:10" x14ac:dyDescent="0.25">
      <c r="B541" s="1" t="s">
        <v>19</v>
      </c>
      <c r="C541" s="1" t="s">
        <v>32</v>
      </c>
      <c r="D541" s="5">
        <v>43358</v>
      </c>
      <c r="E541" s="5">
        <v>32768</v>
      </c>
      <c r="F541" s="1">
        <v>26159</v>
      </c>
      <c r="G541" s="6">
        <f t="shared" si="35"/>
        <v>7847.7</v>
      </c>
      <c r="H541" s="6">
        <f t="shared" si="36"/>
        <v>5231.8</v>
      </c>
      <c r="I541" s="6">
        <f t="shared" si="37"/>
        <v>3139.08</v>
      </c>
      <c r="J541" s="6">
        <f t="shared" si="38"/>
        <v>42377.58</v>
      </c>
    </row>
    <row r="542" spans="2:10" x14ac:dyDescent="0.25">
      <c r="B542" s="1" t="s">
        <v>19</v>
      </c>
      <c r="C542" s="1" t="s">
        <v>25</v>
      </c>
      <c r="D542" s="5">
        <v>44402</v>
      </c>
      <c r="E542" s="5">
        <v>32743</v>
      </c>
      <c r="F542" s="1">
        <v>34594</v>
      </c>
      <c r="G542" s="6">
        <f t="shared" si="35"/>
        <v>10378.199999999999</v>
      </c>
      <c r="H542" s="6">
        <f t="shared" si="36"/>
        <v>6918.8</v>
      </c>
      <c r="I542" s="6">
        <f t="shared" si="37"/>
        <v>4151.28</v>
      </c>
      <c r="J542" s="6">
        <f t="shared" si="38"/>
        <v>56042.28</v>
      </c>
    </row>
    <row r="543" spans="2:10" x14ac:dyDescent="0.25">
      <c r="B543" s="1" t="s">
        <v>19</v>
      </c>
      <c r="C543" s="1" t="s">
        <v>38</v>
      </c>
      <c r="D543" s="5">
        <v>43933</v>
      </c>
      <c r="E543" s="5">
        <v>34945</v>
      </c>
      <c r="F543" s="1">
        <v>34744</v>
      </c>
      <c r="G543" s="6">
        <f t="shared" si="35"/>
        <v>10423.199999999999</v>
      </c>
      <c r="H543" s="6">
        <f t="shared" si="36"/>
        <v>6948.8</v>
      </c>
      <c r="I543" s="6">
        <f t="shared" si="37"/>
        <v>4169.28</v>
      </c>
      <c r="J543" s="6">
        <f t="shared" si="38"/>
        <v>56285.279999999999</v>
      </c>
    </row>
    <row r="544" spans="2:10" x14ac:dyDescent="0.25">
      <c r="B544" s="1" t="s">
        <v>19</v>
      </c>
      <c r="C544" s="1" t="s">
        <v>21</v>
      </c>
      <c r="D544" s="5">
        <v>44369</v>
      </c>
      <c r="E544" s="5">
        <v>32540</v>
      </c>
      <c r="F544" s="1">
        <v>25940</v>
      </c>
      <c r="G544" s="6">
        <f t="shared" si="35"/>
        <v>7782</v>
      </c>
      <c r="H544" s="6">
        <f t="shared" si="36"/>
        <v>5188</v>
      </c>
      <c r="I544" s="6">
        <f t="shared" si="37"/>
        <v>3112.7999999999997</v>
      </c>
      <c r="J544" s="6">
        <f t="shared" si="38"/>
        <v>42022.8</v>
      </c>
    </row>
    <row r="545" spans="2:10" x14ac:dyDescent="0.25">
      <c r="B545" s="1" t="s">
        <v>19</v>
      </c>
      <c r="C545" s="1" t="s">
        <v>31</v>
      </c>
      <c r="D545" s="5">
        <v>44098</v>
      </c>
      <c r="E545" s="5">
        <v>34526</v>
      </c>
      <c r="F545" s="1">
        <v>29575</v>
      </c>
      <c r="G545" s="6">
        <f t="shared" si="35"/>
        <v>8872.5</v>
      </c>
      <c r="H545" s="6">
        <f t="shared" si="36"/>
        <v>5915</v>
      </c>
      <c r="I545" s="6">
        <f t="shared" si="37"/>
        <v>3549</v>
      </c>
      <c r="J545" s="6">
        <f t="shared" si="38"/>
        <v>47911.5</v>
      </c>
    </row>
    <row r="546" spans="2:10" x14ac:dyDescent="0.25">
      <c r="B546" s="1" t="s">
        <v>19</v>
      </c>
      <c r="C546" s="1" t="s">
        <v>25</v>
      </c>
      <c r="D546" s="5">
        <v>43105</v>
      </c>
      <c r="E546" s="5">
        <v>33565</v>
      </c>
      <c r="F546" s="1">
        <v>32654</v>
      </c>
      <c r="G546" s="6">
        <f t="shared" si="35"/>
        <v>9796.1999999999989</v>
      </c>
      <c r="H546" s="6">
        <f t="shared" si="36"/>
        <v>6530.8</v>
      </c>
      <c r="I546" s="6">
        <f t="shared" si="37"/>
        <v>3918.48</v>
      </c>
      <c r="J546" s="6">
        <f t="shared" si="38"/>
        <v>52899.48</v>
      </c>
    </row>
    <row r="547" spans="2:10" x14ac:dyDescent="0.25">
      <c r="B547" s="1" t="s">
        <v>19</v>
      </c>
      <c r="C547" s="1" t="s">
        <v>28</v>
      </c>
      <c r="D547" s="5">
        <v>43663</v>
      </c>
      <c r="E547" s="5">
        <v>32851</v>
      </c>
      <c r="F547" s="1">
        <v>30098</v>
      </c>
      <c r="G547" s="6">
        <f t="shared" si="35"/>
        <v>9029.4</v>
      </c>
      <c r="H547" s="6">
        <f t="shared" si="36"/>
        <v>6019.6</v>
      </c>
      <c r="I547" s="6">
        <f t="shared" si="37"/>
        <v>3611.7599999999998</v>
      </c>
      <c r="J547" s="6">
        <f t="shared" si="38"/>
        <v>48758.76</v>
      </c>
    </row>
    <row r="548" spans="2:10" x14ac:dyDescent="0.25">
      <c r="B548" s="1" t="s">
        <v>19</v>
      </c>
      <c r="C548" s="1" t="s">
        <v>33</v>
      </c>
      <c r="D548" s="5">
        <v>43122</v>
      </c>
      <c r="E548" s="5">
        <v>32322</v>
      </c>
      <c r="F548" s="1">
        <v>33091</v>
      </c>
      <c r="G548" s="6">
        <f t="shared" si="35"/>
        <v>9927.2999999999993</v>
      </c>
      <c r="H548" s="6">
        <f t="shared" si="36"/>
        <v>6618.2000000000007</v>
      </c>
      <c r="I548" s="6">
        <f t="shared" si="37"/>
        <v>3970.92</v>
      </c>
      <c r="J548" s="6">
        <f t="shared" si="38"/>
        <v>53607.42</v>
      </c>
    </row>
    <row r="549" spans="2:10" x14ac:dyDescent="0.25">
      <c r="B549" s="1" t="s">
        <v>19</v>
      </c>
      <c r="C549" s="1" t="s">
        <v>33</v>
      </c>
      <c r="D549" s="5">
        <v>44333</v>
      </c>
      <c r="E549" s="5">
        <v>34438</v>
      </c>
      <c r="F549" s="1">
        <v>29024</v>
      </c>
      <c r="G549" s="6">
        <f t="shared" si="35"/>
        <v>8707.1999999999989</v>
      </c>
      <c r="H549" s="6">
        <f t="shared" si="36"/>
        <v>5804.8</v>
      </c>
      <c r="I549" s="6">
        <f t="shared" si="37"/>
        <v>3482.8799999999997</v>
      </c>
      <c r="J549" s="6">
        <f t="shared" si="38"/>
        <v>47018.879999999997</v>
      </c>
    </row>
    <row r="550" spans="2:10" x14ac:dyDescent="0.25">
      <c r="B550" s="1" t="s">
        <v>19</v>
      </c>
      <c r="C550" s="1" t="s">
        <v>27</v>
      </c>
      <c r="D550" s="5">
        <v>44135</v>
      </c>
      <c r="E550" s="5">
        <v>33231</v>
      </c>
      <c r="F550" s="1">
        <v>33828</v>
      </c>
      <c r="G550" s="6">
        <f t="shared" si="35"/>
        <v>10148.4</v>
      </c>
      <c r="H550" s="6">
        <f t="shared" si="36"/>
        <v>6765.6</v>
      </c>
      <c r="I550" s="6">
        <f t="shared" si="37"/>
        <v>4059.3599999999997</v>
      </c>
      <c r="J550" s="6">
        <f t="shared" si="38"/>
        <v>54801.36</v>
      </c>
    </row>
    <row r="551" spans="2:10" x14ac:dyDescent="0.25">
      <c r="B551" s="1" t="s">
        <v>19</v>
      </c>
      <c r="C551" s="1" t="s">
        <v>22</v>
      </c>
      <c r="D551" s="5">
        <v>43909</v>
      </c>
      <c r="E551" s="5">
        <v>34707</v>
      </c>
      <c r="F551" s="1">
        <v>32737</v>
      </c>
      <c r="G551" s="6">
        <f t="shared" si="35"/>
        <v>9821.1</v>
      </c>
      <c r="H551" s="6">
        <f t="shared" si="36"/>
        <v>6547.4000000000005</v>
      </c>
      <c r="I551" s="6">
        <f t="shared" si="37"/>
        <v>3928.44</v>
      </c>
      <c r="J551" s="6">
        <f t="shared" si="38"/>
        <v>53033.94</v>
      </c>
    </row>
    <row r="552" spans="2:10" x14ac:dyDescent="0.25">
      <c r="B552" s="1" t="s">
        <v>19</v>
      </c>
      <c r="C552" s="1" t="s">
        <v>32</v>
      </c>
      <c r="D552" s="5">
        <v>44086</v>
      </c>
      <c r="E552" s="5">
        <v>33482</v>
      </c>
      <c r="F552" s="1">
        <v>33681</v>
      </c>
      <c r="G552" s="6">
        <f t="shared" si="35"/>
        <v>10104.299999999999</v>
      </c>
      <c r="H552" s="6">
        <f t="shared" si="36"/>
        <v>6736.2000000000007</v>
      </c>
      <c r="I552" s="6">
        <f t="shared" si="37"/>
        <v>4041.72</v>
      </c>
      <c r="J552" s="6">
        <f t="shared" si="38"/>
        <v>54563.22</v>
      </c>
    </row>
    <row r="553" spans="2:10" x14ac:dyDescent="0.25">
      <c r="B553" s="1" t="s">
        <v>19</v>
      </c>
      <c r="C553" s="1" t="s">
        <v>38</v>
      </c>
      <c r="D553" s="5">
        <v>44589</v>
      </c>
      <c r="E553" s="5">
        <v>32368</v>
      </c>
      <c r="F553" s="1">
        <v>30321</v>
      </c>
      <c r="G553" s="6">
        <f t="shared" si="35"/>
        <v>9096.2999999999993</v>
      </c>
      <c r="H553" s="6">
        <f t="shared" si="36"/>
        <v>6064.2000000000007</v>
      </c>
      <c r="I553" s="6">
        <f t="shared" si="37"/>
        <v>3638.52</v>
      </c>
      <c r="J553" s="6">
        <f t="shared" si="38"/>
        <v>49120.02</v>
      </c>
    </row>
    <row r="554" spans="2:10" x14ac:dyDescent="0.25">
      <c r="B554" s="1" t="s">
        <v>19</v>
      </c>
      <c r="C554" s="1" t="s">
        <v>37</v>
      </c>
      <c r="D554" s="5">
        <v>44184</v>
      </c>
      <c r="E554" s="5">
        <v>33865</v>
      </c>
      <c r="F554" s="1">
        <v>25262</v>
      </c>
      <c r="G554" s="6">
        <f t="shared" si="35"/>
        <v>7578.5999999999995</v>
      </c>
      <c r="H554" s="6">
        <f t="shared" si="36"/>
        <v>5052.4000000000005</v>
      </c>
      <c r="I554" s="6">
        <f t="shared" si="37"/>
        <v>3031.44</v>
      </c>
      <c r="J554" s="6">
        <f t="shared" si="38"/>
        <v>40924.44</v>
      </c>
    </row>
    <row r="555" spans="2:10" x14ac:dyDescent="0.25">
      <c r="B555" s="1" t="s">
        <v>19</v>
      </c>
      <c r="C555" s="1" t="s">
        <v>31</v>
      </c>
      <c r="D555" s="5">
        <v>44562</v>
      </c>
      <c r="E555" s="5">
        <v>34235</v>
      </c>
      <c r="F555" s="1">
        <v>27655</v>
      </c>
      <c r="G555" s="6">
        <f t="shared" si="35"/>
        <v>8296.5</v>
      </c>
      <c r="H555" s="6">
        <f t="shared" si="36"/>
        <v>5531</v>
      </c>
      <c r="I555" s="6">
        <f t="shared" si="37"/>
        <v>3318.6</v>
      </c>
      <c r="J555" s="6">
        <f t="shared" si="38"/>
        <v>44801.1</v>
      </c>
    </row>
    <row r="556" spans="2:10" x14ac:dyDescent="0.25">
      <c r="B556" s="1" t="s">
        <v>19</v>
      </c>
      <c r="C556" s="1" t="s">
        <v>24</v>
      </c>
      <c r="D556" s="5">
        <v>43711</v>
      </c>
      <c r="E556" s="5">
        <v>32952</v>
      </c>
      <c r="F556" s="1">
        <v>33372</v>
      </c>
      <c r="G556" s="6">
        <f t="shared" si="35"/>
        <v>10011.6</v>
      </c>
      <c r="H556" s="6">
        <f t="shared" si="36"/>
        <v>6674.4000000000005</v>
      </c>
      <c r="I556" s="6">
        <f t="shared" si="37"/>
        <v>4004.64</v>
      </c>
      <c r="J556" s="6">
        <f t="shared" si="38"/>
        <v>54062.64</v>
      </c>
    </row>
    <row r="557" spans="2:10" x14ac:dyDescent="0.25">
      <c r="B557" s="1" t="s">
        <v>19</v>
      </c>
      <c r="C557" s="1" t="s">
        <v>32</v>
      </c>
      <c r="D557" s="5">
        <v>44324</v>
      </c>
      <c r="E557" s="5">
        <v>34374</v>
      </c>
      <c r="F557" s="1">
        <v>26289</v>
      </c>
      <c r="G557" s="6">
        <f t="shared" si="35"/>
        <v>7886.7</v>
      </c>
      <c r="H557" s="6">
        <f t="shared" si="36"/>
        <v>5257.8</v>
      </c>
      <c r="I557" s="6">
        <f t="shared" si="37"/>
        <v>3154.68</v>
      </c>
      <c r="J557" s="6">
        <f t="shared" si="38"/>
        <v>42588.18</v>
      </c>
    </row>
    <row r="558" spans="2:10" x14ac:dyDescent="0.25">
      <c r="B558" s="1" t="s">
        <v>19</v>
      </c>
      <c r="C558" s="1" t="s">
        <v>26</v>
      </c>
      <c r="D558" s="5">
        <v>44606</v>
      </c>
      <c r="E558" s="5">
        <v>34398</v>
      </c>
      <c r="F558" s="1">
        <v>31850</v>
      </c>
      <c r="G558" s="6">
        <f t="shared" si="35"/>
        <v>9555</v>
      </c>
      <c r="H558" s="6">
        <f t="shared" si="36"/>
        <v>6370</v>
      </c>
      <c r="I558" s="6">
        <f t="shared" si="37"/>
        <v>3822</v>
      </c>
      <c r="J558" s="6">
        <f t="shared" si="38"/>
        <v>51597</v>
      </c>
    </row>
    <row r="559" spans="2:10" x14ac:dyDescent="0.25">
      <c r="B559" s="1" t="s">
        <v>19</v>
      </c>
      <c r="C559" s="1" t="s">
        <v>36</v>
      </c>
      <c r="D559" s="5">
        <v>43550</v>
      </c>
      <c r="E559" s="5">
        <v>32366</v>
      </c>
      <c r="F559" s="1">
        <v>25781</v>
      </c>
      <c r="G559" s="6">
        <f t="shared" si="35"/>
        <v>7734.2999999999993</v>
      </c>
      <c r="H559" s="6">
        <f t="shared" si="36"/>
        <v>5156.2000000000007</v>
      </c>
      <c r="I559" s="6">
        <f t="shared" si="37"/>
        <v>3093.72</v>
      </c>
      <c r="J559" s="6">
        <f t="shared" si="38"/>
        <v>41765.22</v>
      </c>
    </row>
    <row r="560" spans="2:10" x14ac:dyDescent="0.25">
      <c r="B560" s="1" t="s">
        <v>19</v>
      </c>
      <c r="C560" s="1" t="s">
        <v>30</v>
      </c>
      <c r="D560" s="5">
        <v>43395</v>
      </c>
      <c r="E560" s="5">
        <v>32457</v>
      </c>
      <c r="F560" s="1">
        <v>26725</v>
      </c>
      <c r="G560" s="6">
        <f t="shared" si="35"/>
        <v>8017.5</v>
      </c>
      <c r="H560" s="6">
        <f t="shared" si="36"/>
        <v>5345</v>
      </c>
      <c r="I560" s="6">
        <f t="shared" si="37"/>
        <v>3207</v>
      </c>
      <c r="J560" s="6">
        <f t="shared" si="38"/>
        <v>43294.5</v>
      </c>
    </row>
    <row r="561" spans="2:10" x14ac:dyDescent="0.25">
      <c r="B561" s="1" t="s">
        <v>19</v>
      </c>
      <c r="C561" s="1" t="s">
        <v>28</v>
      </c>
      <c r="D561" s="5">
        <v>44279</v>
      </c>
      <c r="E561" s="5">
        <v>34872</v>
      </c>
      <c r="F561" s="1">
        <v>25260</v>
      </c>
      <c r="G561" s="6">
        <f t="shared" si="35"/>
        <v>7578</v>
      </c>
      <c r="H561" s="6">
        <f t="shared" si="36"/>
        <v>5052</v>
      </c>
      <c r="I561" s="6">
        <f t="shared" si="37"/>
        <v>3031.2</v>
      </c>
      <c r="J561" s="6">
        <f t="shared" si="38"/>
        <v>40921.199999999997</v>
      </c>
    </row>
    <row r="562" spans="2:10" x14ac:dyDescent="0.25">
      <c r="B562" s="1" t="s">
        <v>19</v>
      </c>
      <c r="C562" s="1" t="s">
        <v>21</v>
      </c>
      <c r="D562" s="5">
        <v>44834</v>
      </c>
      <c r="E562" s="5">
        <v>34380</v>
      </c>
      <c r="F562" s="1">
        <v>32381</v>
      </c>
      <c r="G562" s="6">
        <f t="shared" si="35"/>
        <v>9714.2999999999993</v>
      </c>
      <c r="H562" s="6">
        <f t="shared" si="36"/>
        <v>6476.2000000000007</v>
      </c>
      <c r="I562" s="6">
        <f t="shared" si="37"/>
        <v>3885.72</v>
      </c>
      <c r="J562" s="6">
        <f t="shared" si="38"/>
        <v>52457.22</v>
      </c>
    </row>
    <row r="563" spans="2:10" x14ac:dyDescent="0.25">
      <c r="B563" s="1" t="s">
        <v>19</v>
      </c>
      <c r="C563" s="1" t="s">
        <v>31</v>
      </c>
      <c r="D563" s="5">
        <v>43538</v>
      </c>
      <c r="E563" s="5">
        <v>32219</v>
      </c>
      <c r="F563" s="1">
        <v>27661</v>
      </c>
      <c r="G563" s="6">
        <f t="shared" si="35"/>
        <v>8298.2999999999993</v>
      </c>
      <c r="H563" s="6">
        <f t="shared" si="36"/>
        <v>5532.2000000000007</v>
      </c>
      <c r="I563" s="6">
        <f t="shared" si="37"/>
        <v>3319.3199999999997</v>
      </c>
      <c r="J563" s="6">
        <f t="shared" si="38"/>
        <v>44810.82</v>
      </c>
    </row>
    <row r="564" spans="2:10" x14ac:dyDescent="0.25">
      <c r="B564" s="1" t="s">
        <v>19</v>
      </c>
      <c r="C564" s="1" t="s">
        <v>38</v>
      </c>
      <c r="D564" s="5">
        <v>44645</v>
      </c>
      <c r="E564" s="5">
        <v>34750</v>
      </c>
      <c r="F564" s="1">
        <v>25935</v>
      </c>
      <c r="G564" s="6">
        <f t="shared" si="35"/>
        <v>7780.5</v>
      </c>
      <c r="H564" s="6">
        <f t="shared" si="36"/>
        <v>5187</v>
      </c>
      <c r="I564" s="6">
        <f t="shared" si="37"/>
        <v>3112.2</v>
      </c>
      <c r="J564" s="6">
        <f t="shared" si="38"/>
        <v>42014.7</v>
      </c>
    </row>
    <row r="565" spans="2:10" x14ac:dyDescent="0.25">
      <c r="B565" s="1" t="s">
        <v>19</v>
      </c>
      <c r="C565" s="1" t="s">
        <v>35</v>
      </c>
      <c r="D565" s="5">
        <v>44514</v>
      </c>
      <c r="E565" s="5">
        <v>32290</v>
      </c>
      <c r="F565" s="1">
        <v>28797</v>
      </c>
      <c r="G565" s="6">
        <f t="shared" si="35"/>
        <v>8639.1</v>
      </c>
      <c r="H565" s="6">
        <f t="shared" si="36"/>
        <v>5759.4000000000005</v>
      </c>
      <c r="I565" s="6">
        <f t="shared" si="37"/>
        <v>3455.64</v>
      </c>
      <c r="J565" s="6">
        <f t="shared" si="38"/>
        <v>46651.14</v>
      </c>
    </row>
    <row r="566" spans="2:10" x14ac:dyDescent="0.25">
      <c r="B566" s="1" t="s">
        <v>19</v>
      </c>
      <c r="C566" s="1" t="s">
        <v>23</v>
      </c>
      <c r="D566" s="5">
        <v>44183</v>
      </c>
      <c r="E566" s="5">
        <v>33811</v>
      </c>
      <c r="F566" s="1">
        <v>28135</v>
      </c>
      <c r="G566" s="6">
        <f t="shared" si="35"/>
        <v>8440.5</v>
      </c>
      <c r="H566" s="6">
        <f t="shared" si="36"/>
        <v>5627</v>
      </c>
      <c r="I566" s="6">
        <f t="shared" si="37"/>
        <v>3376.2</v>
      </c>
      <c r="J566" s="6">
        <f t="shared" si="38"/>
        <v>45578.7</v>
      </c>
    </row>
    <row r="567" spans="2:10" x14ac:dyDescent="0.25">
      <c r="B567" s="1" t="s">
        <v>19</v>
      </c>
      <c r="C567" s="1" t="s">
        <v>0</v>
      </c>
      <c r="D567" s="5">
        <v>44781</v>
      </c>
      <c r="E567" s="5">
        <v>34591</v>
      </c>
      <c r="F567" s="1">
        <v>32503</v>
      </c>
      <c r="G567" s="6">
        <f t="shared" si="35"/>
        <v>9750.9</v>
      </c>
      <c r="H567" s="6">
        <f t="shared" si="36"/>
        <v>6500.6</v>
      </c>
      <c r="I567" s="6">
        <f t="shared" si="37"/>
        <v>3900.3599999999997</v>
      </c>
      <c r="J567" s="6">
        <f t="shared" si="38"/>
        <v>52654.86</v>
      </c>
    </row>
    <row r="568" spans="2:10" x14ac:dyDescent="0.25">
      <c r="B568" s="1" t="s">
        <v>19</v>
      </c>
      <c r="C568" s="1" t="s">
        <v>37</v>
      </c>
      <c r="D568" s="5">
        <v>43532</v>
      </c>
      <c r="E568" s="5">
        <v>34651</v>
      </c>
      <c r="F568" s="1">
        <v>25076</v>
      </c>
      <c r="G568" s="6">
        <f t="shared" si="35"/>
        <v>7522.7999999999993</v>
      </c>
      <c r="H568" s="6">
        <f t="shared" si="36"/>
        <v>5015.2000000000007</v>
      </c>
      <c r="I568" s="6">
        <f t="shared" si="37"/>
        <v>3009.12</v>
      </c>
      <c r="J568" s="6">
        <f t="shared" si="38"/>
        <v>40623.120000000003</v>
      </c>
    </row>
    <row r="569" spans="2:10" x14ac:dyDescent="0.25">
      <c r="B569" s="1" t="s">
        <v>19</v>
      </c>
      <c r="C569" s="1" t="s">
        <v>33</v>
      </c>
      <c r="D569" s="5">
        <v>44886</v>
      </c>
      <c r="E569" s="5">
        <v>34266</v>
      </c>
      <c r="F569" s="1">
        <v>32191</v>
      </c>
      <c r="G569" s="6">
        <f t="shared" si="35"/>
        <v>9657.2999999999993</v>
      </c>
      <c r="H569" s="6">
        <f t="shared" si="36"/>
        <v>6438.2000000000007</v>
      </c>
      <c r="I569" s="6">
        <f t="shared" si="37"/>
        <v>3862.92</v>
      </c>
      <c r="J569" s="6">
        <f t="shared" si="38"/>
        <v>52149.42</v>
      </c>
    </row>
    <row r="570" spans="2:10" x14ac:dyDescent="0.25">
      <c r="B570" s="1" t="s">
        <v>19</v>
      </c>
      <c r="C570" s="1" t="s">
        <v>35</v>
      </c>
      <c r="D570" s="5">
        <v>44729</v>
      </c>
      <c r="E570" s="5">
        <v>34269</v>
      </c>
      <c r="F570" s="1">
        <v>29336</v>
      </c>
      <c r="G570" s="6">
        <f t="shared" si="35"/>
        <v>8800.7999999999993</v>
      </c>
      <c r="H570" s="6">
        <f t="shared" si="36"/>
        <v>5867.2000000000007</v>
      </c>
      <c r="I570" s="6">
        <f t="shared" si="37"/>
        <v>3520.3199999999997</v>
      </c>
      <c r="J570" s="6">
        <f t="shared" si="38"/>
        <v>47524.32</v>
      </c>
    </row>
    <row r="571" spans="2:10" x14ac:dyDescent="0.25">
      <c r="B571" s="1" t="s">
        <v>19</v>
      </c>
      <c r="C571" s="1" t="s">
        <v>25</v>
      </c>
      <c r="D571" s="5">
        <v>44092</v>
      </c>
      <c r="E571" s="5">
        <v>33736</v>
      </c>
      <c r="F571" s="1">
        <v>25932</v>
      </c>
      <c r="G571" s="6">
        <f t="shared" si="35"/>
        <v>7779.5999999999995</v>
      </c>
      <c r="H571" s="6">
        <f t="shared" si="36"/>
        <v>5186.4000000000005</v>
      </c>
      <c r="I571" s="6">
        <f t="shared" si="37"/>
        <v>3111.8399999999997</v>
      </c>
      <c r="J571" s="6">
        <f t="shared" si="38"/>
        <v>42009.84</v>
      </c>
    </row>
    <row r="572" spans="2:10" x14ac:dyDescent="0.25">
      <c r="B572" s="1" t="s">
        <v>19</v>
      </c>
      <c r="C572" s="1" t="s">
        <v>34</v>
      </c>
      <c r="D572" s="5">
        <v>43872</v>
      </c>
      <c r="E572" s="5">
        <v>34948</v>
      </c>
      <c r="F572" s="1">
        <v>30387</v>
      </c>
      <c r="G572" s="6">
        <f t="shared" si="35"/>
        <v>9116.1</v>
      </c>
      <c r="H572" s="6">
        <f t="shared" si="36"/>
        <v>6077.4000000000005</v>
      </c>
      <c r="I572" s="6">
        <f t="shared" si="37"/>
        <v>3646.44</v>
      </c>
      <c r="J572" s="6">
        <f t="shared" si="38"/>
        <v>49226.94</v>
      </c>
    </row>
    <row r="573" spans="2:10" x14ac:dyDescent="0.25">
      <c r="B573" s="1" t="s">
        <v>19</v>
      </c>
      <c r="C573" s="1" t="s">
        <v>27</v>
      </c>
      <c r="D573" s="5">
        <v>43874</v>
      </c>
      <c r="E573" s="5">
        <v>33447</v>
      </c>
      <c r="F573" s="1">
        <v>30091</v>
      </c>
      <c r="G573" s="6">
        <f t="shared" si="35"/>
        <v>9027.2999999999993</v>
      </c>
      <c r="H573" s="6">
        <f t="shared" si="36"/>
        <v>6018.2000000000007</v>
      </c>
      <c r="I573" s="6">
        <f t="shared" si="37"/>
        <v>3610.92</v>
      </c>
      <c r="J573" s="6">
        <f t="shared" si="38"/>
        <v>48747.42</v>
      </c>
    </row>
    <row r="574" spans="2:10" x14ac:dyDescent="0.25">
      <c r="B574" s="1" t="s">
        <v>19</v>
      </c>
      <c r="C574" s="1" t="s">
        <v>22</v>
      </c>
      <c r="D574" s="5">
        <v>43566</v>
      </c>
      <c r="E574" s="5">
        <v>34125</v>
      </c>
      <c r="F574" s="1">
        <v>30124</v>
      </c>
      <c r="G574" s="6">
        <f t="shared" si="35"/>
        <v>9037.1999999999989</v>
      </c>
      <c r="H574" s="6">
        <f t="shared" si="36"/>
        <v>6024.8</v>
      </c>
      <c r="I574" s="6">
        <f t="shared" si="37"/>
        <v>3614.8799999999997</v>
      </c>
      <c r="J574" s="6">
        <f t="shared" si="38"/>
        <v>48800.88</v>
      </c>
    </row>
    <row r="575" spans="2:10" x14ac:dyDescent="0.25">
      <c r="B575" s="1" t="s">
        <v>19</v>
      </c>
      <c r="C575" s="1" t="s">
        <v>35</v>
      </c>
      <c r="D575" s="5">
        <v>44482</v>
      </c>
      <c r="E575" s="5">
        <v>33174</v>
      </c>
      <c r="F575" s="1">
        <v>30340</v>
      </c>
      <c r="G575" s="6">
        <f t="shared" si="35"/>
        <v>9102</v>
      </c>
      <c r="H575" s="6">
        <f t="shared" si="36"/>
        <v>6068</v>
      </c>
      <c r="I575" s="6">
        <f t="shared" si="37"/>
        <v>3640.7999999999997</v>
      </c>
      <c r="J575" s="6">
        <f t="shared" si="38"/>
        <v>49150.8</v>
      </c>
    </row>
    <row r="576" spans="2:10" x14ac:dyDescent="0.25">
      <c r="B576" s="1" t="s">
        <v>19</v>
      </c>
      <c r="C576" s="1" t="s">
        <v>33</v>
      </c>
      <c r="D576" s="5">
        <v>43193</v>
      </c>
      <c r="E576" s="5">
        <v>32316</v>
      </c>
      <c r="F576" s="1">
        <v>30468</v>
      </c>
      <c r="G576" s="6">
        <f t="shared" si="35"/>
        <v>9140.4</v>
      </c>
      <c r="H576" s="6">
        <f t="shared" si="36"/>
        <v>6093.6</v>
      </c>
      <c r="I576" s="6">
        <f t="shared" si="37"/>
        <v>3656.16</v>
      </c>
      <c r="J576" s="6">
        <f t="shared" si="38"/>
        <v>49358.16</v>
      </c>
    </row>
    <row r="577" spans="2:10" x14ac:dyDescent="0.25">
      <c r="B577" s="1" t="s">
        <v>19</v>
      </c>
      <c r="C577" s="1" t="s">
        <v>34</v>
      </c>
      <c r="D577" s="5">
        <v>44433</v>
      </c>
      <c r="E577" s="5">
        <v>32177</v>
      </c>
      <c r="F577" s="1">
        <v>31595</v>
      </c>
      <c r="G577" s="6">
        <f t="shared" si="35"/>
        <v>9478.5</v>
      </c>
      <c r="H577" s="6">
        <f t="shared" si="36"/>
        <v>6319</v>
      </c>
      <c r="I577" s="6">
        <f t="shared" si="37"/>
        <v>3791.3999999999996</v>
      </c>
      <c r="J577" s="6">
        <f t="shared" si="38"/>
        <v>51183.9</v>
      </c>
    </row>
    <row r="578" spans="2:10" x14ac:dyDescent="0.25">
      <c r="B578" s="1" t="s">
        <v>19</v>
      </c>
      <c r="C578" s="1" t="s">
        <v>29</v>
      </c>
      <c r="D578" s="5">
        <v>44003</v>
      </c>
      <c r="E578" s="5">
        <v>34578</v>
      </c>
      <c r="F578" s="1">
        <v>27359</v>
      </c>
      <c r="G578" s="6">
        <f t="shared" si="35"/>
        <v>8207.6999999999989</v>
      </c>
      <c r="H578" s="6">
        <f t="shared" si="36"/>
        <v>5471.8</v>
      </c>
      <c r="I578" s="6">
        <f t="shared" si="37"/>
        <v>3283.08</v>
      </c>
      <c r="J578" s="6">
        <f t="shared" si="38"/>
        <v>44321.58</v>
      </c>
    </row>
    <row r="579" spans="2:10" x14ac:dyDescent="0.25">
      <c r="B579" s="1" t="s">
        <v>19</v>
      </c>
      <c r="C579" s="1" t="s">
        <v>0</v>
      </c>
      <c r="D579" s="5">
        <v>44414</v>
      </c>
      <c r="E579" s="5">
        <v>35046</v>
      </c>
      <c r="F579" s="1">
        <v>32298</v>
      </c>
      <c r="G579" s="6">
        <f t="shared" si="35"/>
        <v>9689.4</v>
      </c>
      <c r="H579" s="6">
        <f t="shared" si="36"/>
        <v>6459.6</v>
      </c>
      <c r="I579" s="6">
        <f t="shared" si="37"/>
        <v>3875.7599999999998</v>
      </c>
      <c r="J579" s="6">
        <f t="shared" si="38"/>
        <v>52322.76</v>
      </c>
    </row>
    <row r="580" spans="2:10" x14ac:dyDescent="0.25">
      <c r="B580" s="1" t="s">
        <v>19</v>
      </c>
      <c r="C580" s="1" t="s">
        <v>32</v>
      </c>
      <c r="D580" s="5">
        <v>43205</v>
      </c>
      <c r="E580" s="5">
        <v>34984</v>
      </c>
      <c r="F580" s="1">
        <v>33928</v>
      </c>
      <c r="G580" s="6">
        <f t="shared" si="35"/>
        <v>10178.4</v>
      </c>
      <c r="H580" s="6">
        <f t="shared" si="36"/>
        <v>6785.6</v>
      </c>
      <c r="I580" s="6">
        <f t="shared" si="37"/>
        <v>4071.3599999999997</v>
      </c>
      <c r="J580" s="6">
        <f t="shared" si="38"/>
        <v>54963.360000000001</v>
      </c>
    </row>
    <row r="581" spans="2:10" x14ac:dyDescent="0.25">
      <c r="B581" s="1" t="s">
        <v>19</v>
      </c>
      <c r="C581" s="1" t="s">
        <v>20</v>
      </c>
      <c r="D581" s="5">
        <v>44661</v>
      </c>
      <c r="E581" s="5">
        <v>32975</v>
      </c>
      <c r="F581" s="1">
        <v>28275</v>
      </c>
      <c r="G581" s="6">
        <f t="shared" si="35"/>
        <v>8482.5</v>
      </c>
      <c r="H581" s="6">
        <f t="shared" si="36"/>
        <v>5655</v>
      </c>
      <c r="I581" s="6">
        <f t="shared" si="37"/>
        <v>3393</v>
      </c>
      <c r="J581" s="6">
        <f t="shared" si="38"/>
        <v>45805.5</v>
      </c>
    </row>
    <row r="582" spans="2:10" x14ac:dyDescent="0.25">
      <c r="B582" s="1" t="s">
        <v>19</v>
      </c>
      <c r="C582" s="1" t="s">
        <v>23</v>
      </c>
      <c r="D582" s="5">
        <v>44293</v>
      </c>
      <c r="E582" s="5">
        <v>33108</v>
      </c>
      <c r="F582" s="1">
        <v>27046</v>
      </c>
      <c r="G582" s="6">
        <f t="shared" si="35"/>
        <v>8113.7999999999993</v>
      </c>
      <c r="H582" s="6">
        <f t="shared" si="36"/>
        <v>5409.2000000000007</v>
      </c>
      <c r="I582" s="6">
        <f t="shared" si="37"/>
        <v>3245.52</v>
      </c>
      <c r="J582" s="6">
        <f t="shared" si="38"/>
        <v>43814.52</v>
      </c>
    </row>
    <row r="583" spans="2:10" x14ac:dyDescent="0.25">
      <c r="B583" s="1" t="s">
        <v>19</v>
      </c>
      <c r="C583" s="1" t="s">
        <v>29</v>
      </c>
      <c r="D583" s="5">
        <v>44438</v>
      </c>
      <c r="E583" s="5">
        <v>34931</v>
      </c>
      <c r="F583" s="1">
        <v>27623</v>
      </c>
      <c r="G583" s="6">
        <f t="shared" ref="G583:G588" si="39">F583*0.3</f>
        <v>8286.9</v>
      </c>
      <c r="H583" s="6">
        <f t="shared" si="36"/>
        <v>5524.6</v>
      </c>
      <c r="I583" s="6">
        <f t="shared" si="37"/>
        <v>3314.7599999999998</v>
      </c>
      <c r="J583" s="6">
        <f t="shared" si="38"/>
        <v>44749.26</v>
      </c>
    </row>
    <row r="584" spans="2:10" x14ac:dyDescent="0.25">
      <c r="B584" s="1" t="s">
        <v>19</v>
      </c>
      <c r="C584" s="1" t="s">
        <v>26</v>
      </c>
      <c r="D584" s="5">
        <v>44882</v>
      </c>
      <c r="E584" s="5">
        <v>34217</v>
      </c>
      <c r="F584" s="1">
        <v>32081</v>
      </c>
      <c r="G584" s="6">
        <f t="shared" si="39"/>
        <v>9624.2999999999993</v>
      </c>
      <c r="H584" s="6">
        <f t="shared" si="36"/>
        <v>6416.2000000000007</v>
      </c>
      <c r="I584" s="6">
        <f t="shared" si="37"/>
        <v>3849.72</v>
      </c>
      <c r="J584" s="6">
        <f t="shared" si="38"/>
        <v>51971.22</v>
      </c>
    </row>
    <row r="585" spans="2:10" x14ac:dyDescent="0.25">
      <c r="B585" s="1" t="s">
        <v>19</v>
      </c>
      <c r="C585" s="1" t="s">
        <v>38</v>
      </c>
      <c r="D585" s="5">
        <v>43574</v>
      </c>
      <c r="E585" s="5">
        <v>32172</v>
      </c>
      <c r="F585" s="1">
        <v>33902</v>
      </c>
      <c r="G585" s="6">
        <f t="shared" si="39"/>
        <v>10170.6</v>
      </c>
      <c r="H585" s="6">
        <f t="shared" si="36"/>
        <v>6780.4000000000005</v>
      </c>
      <c r="I585" s="6">
        <f t="shared" si="37"/>
        <v>4068.24</v>
      </c>
      <c r="J585" s="6">
        <f t="shared" si="38"/>
        <v>54921.24</v>
      </c>
    </row>
    <row r="586" spans="2:10" x14ac:dyDescent="0.25">
      <c r="B586" s="1" t="s">
        <v>19</v>
      </c>
      <c r="C586" s="1" t="s">
        <v>26</v>
      </c>
      <c r="D586" s="5">
        <v>44515</v>
      </c>
      <c r="E586" s="5">
        <v>34418</v>
      </c>
      <c r="F586" s="1">
        <v>34314</v>
      </c>
      <c r="G586" s="6">
        <f t="shared" si="39"/>
        <v>10294.199999999999</v>
      </c>
      <c r="H586" s="6">
        <f t="shared" si="36"/>
        <v>6862.8</v>
      </c>
      <c r="I586" s="6">
        <f t="shared" si="37"/>
        <v>4117.68</v>
      </c>
      <c r="J586" s="6">
        <f t="shared" si="38"/>
        <v>55588.68</v>
      </c>
    </row>
    <row r="587" spans="2:10" x14ac:dyDescent="0.25">
      <c r="B587" s="1" t="s">
        <v>19</v>
      </c>
      <c r="C587" s="1" t="s">
        <v>37</v>
      </c>
      <c r="D587" s="5">
        <v>44830</v>
      </c>
      <c r="E587" s="5">
        <v>34999</v>
      </c>
      <c r="F587" s="1">
        <v>33733</v>
      </c>
      <c r="G587" s="6">
        <f t="shared" si="39"/>
        <v>10119.9</v>
      </c>
      <c r="H587" s="6">
        <f t="shared" si="36"/>
        <v>6746.6</v>
      </c>
      <c r="I587" s="6">
        <f t="shared" si="37"/>
        <v>4047.96</v>
      </c>
      <c r="J587" s="6">
        <f t="shared" si="38"/>
        <v>54647.46</v>
      </c>
    </row>
    <row r="588" spans="2:10" x14ac:dyDescent="0.25">
      <c r="B588" s="1" t="s">
        <v>19</v>
      </c>
      <c r="C588" s="1" t="s">
        <v>36</v>
      </c>
      <c r="D588" s="5">
        <v>43697</v>
      </c>
      <c r="E588" s="5">
        <v>32771</v>
      </c>
      <c r="F588" s="1">
        <v>28771</v>
      </c>
      <c r="G588" s="6">
        <f t="shared" si="39"/>
        <v>8631.2999999999993</v>
      </c>
      <c r="H588" s="6">
        <f t="shared" si="36"/>
        <v>5754.2000000000007</v>
      </c>
      <c r="I588" s="6">
        <f t="shared" si="37"/>
        <v>3452.52</v>
      </c>
      <c r="J588" s="6">
        <f t="shared" si="38"/>
        <v>46609.02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EC2C4-82D3-434B-B394-E5DA2E77C453}">
  <sheetPr codeName="Sheet14"/>
  <dimension ref="D4:E14"/>
  <sheetViews>
    <sheetView workbookViewId="0">
      <selection activeCell="E16" sqref="E16"/>
    </sheetView>
  </sheetViews>
  <sheetFormatPr defaultRowHeight="15" x14ac:dyDescent="0.25"/>
  <cols>
    <col min="4" max="4" width="13.28515625" customWidth="1"/>
    <col min="5" max="5" width="31" customWidth="1"/>
  </cols>
  <sheetData>
    <row r="4" spans="4:5" x14ac:dyDescent="0.25">
      <c r="D4" s="7"/>
    </row>
    <row r="13" spans="4:5" x14ac:dyDescent="0.25">
      <c r="E13" t="s">
        <v>64</v>
      </c>
    </row>
    <row r="14" spans="4:5" x14ac:dyDescent="0.25">
      <c r="E14" t="s">
        <v>65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7DFC5-AA03-44AD-BDE9-5DB9EECC48E0}">
  <dimension ref="C4:G16"/>
  <sheetViews>
    <sheetView workbookViewId="0">
      <selection activeCell="L10" sqref="L10"/>
    </sheetView>
  </sheetViews>
  <sheetFormatPr defaultRowHeight="15" x14ac:dyDescent="0.25"/>
  <cols>
    <col min="4" max="4" width="13.28515625" customWidth="1"/>
  </cols>
  <sheetData>
    <row r="4" spans="3:7" x14ac:dyDescent="0.25">
      <c r="C4" s="9" t="s">
        <v>44</v>
      </c>
      <c r="D4" s="10">
        <f ca="1">TODAY()</f>
        <v>44997</v>
      </c>
      <c r="E4" s="11"/>
      <c r="F4" s="11"/>
      <c r="G4" s="12"/>
    </row>
    <row r="5" spans="3:7" x14ac:dyDescent="0.25">
      <c r="C5" s="8" t="s">
        <v>45</v>
      </c>
      <c r="D5" s="8" t="s">
        <v>46</v>
      </c>
      <c r="E5" s="8" t="s">
        <v>1</v>
      </c>
      <c r="F5" s="8" t="s">
        <v>47</v>
      </c>
      <c r="G5" s="8" t="s">
        <v>7</v>
      </c>
    </row>
    <row r="6" spans="3:7" x14ac:dyDescent="0.25">
      <c r="C6" s="3">
        <v>1</v>
      </c>
      <c r="D6" s="2" t="s">
        <v>48</v>
      </c>
      <c r="E6" s="2"/>
      <c r="F6" s="2"/>
      <c r="G6" s="2">
        <f>E6*F6</f>
        <v>0</v>
      </c>
    </row>
    <row r="7" spans="3:7" x14ac:dyDescent="0.25">
      <c r="C7" s="3">
        <v>2</v>
      </c>
      <c r="D7" s="2" t="s">
        <v>49</v>
      </c>
      <c r="E7" s="2"/>
      <c r="F7" s="2"/>
      <c r="G7" s="2">
        <f t="shared" ref="G7:G13" si="0">E7*F7</f>
        <v>0</v>
      </c>
    </row>
    <row r="8" spans="3:7" x14ac:dyDescent="0.25">
      <c r="C8" s="3">
        <v>3</v>
      </c>
      <c r="D8" s="2" t="s">
        <v>50</v>
      </c>
      <c r="E8" s="2"/>
      <c r="F8" s="2"/>
      <c r="G8" s="2">
        <f t="shared" si="0"/>
        <v>0</v>
      </c>
    </row>
    <row r="9" spans="3:7" x14ac:dyDescent="0.25">
      <c r="C9" s="3">
        <v>4</v>
      </c>
      <c r="D9" s="2" t="s">
        <v>51</v>
      </c>
      <c r="E9" s="2"/>
      <c r="F9" s="2"/>
      <c r="G9" s="2">
        <f t="shared" si="0"/>
        <v>0</v>
      </c>
    </row>
    <row r="10" spans="3:7" x14ac:dyDescent="0.25">
      <c r="C10" s="3">
        <v>5</v>
      </c>
      <c r="D10" s="2" t="s">
        <v>52</v>
      </c>
      <c r="E10" s="2"/>
      <c r="F10" s="2"/>
      <c r="G10" s="2">
        <f t="shared" si="0"/>
        <v>0</v>
      </c>
    </row>
    <row r="11" spans="3:7" x14ac:dyDescent="0.25">
      <c r="C11" s="3">
        <v>6</v>
      </c>
      <c r="D11" s="2" t="s">
        <v>53</v>
      </c>
      <c r="E11" s="2"/>
      <c r="F11" s="2"/>
      <c r="G11" s="2">
        <f t="shared" si="0"/>
        <v>0</v>
      </c>
    </row>
    <row r="12" spans="3:7" x14ac:dyDescent="0.25">
      <c r="C12" s="3">
        <v>7</v>
      </c>
      <c r="D12" s="2" t="s">
        <v>54</v>
      </c>
      <c r="E12" s="2"/>
      <c r="F12" s="2"/>
      <c r="G12" s="2">
        <f t="shared" si="0"/>
        <v>0</v>
      </c>
    </row>
    <row r="13" spans="3:7" x14ac:dyDescent="0.25">
      <c r="C13" s="13">
        <v>8</v>
      </c>
      <c r="D13" s="14" t="s">
        <v>55</v>
      </c>
      <c r="E13" s="14"/>
      <c r="F13" s="14"/>
      <c r="G13" s="14">
        <f t="shared" si="0"/>
        <v>0</v>
      </c>
    </row>
    <row r="14" spans="3:7" x14ac:dyDescent="0.25">
      <c r="C14" s="15"/>
      <c r="D14" s="16"/>
      <c r="E14" s="16"/>
      <c r="F14" s="16"/>
      <c r="G14" s="17"/>
    </row>
    <row r="15" spans="3:7" x14ac:dyDescent="0.25">
      <c r="C15" s="18"/>
      <c r="D15" s="19" t="s">
        <v>56</v>
      </c>
      <c r="E15" s="19"/>
      <c r="F15" s="19"/>
      <c r="G15" s="20">
        <f>SUM(G6:G13)</f>
        <v>0</v>
      </c>
    </row>
    <row r="16" spans="3:7" x14ac:dyDescent="0.25">
      <c r="C16" s="21"/>
      <c r="D16" s="22" t="s">
        <v>57</v>
      </c>
      <c r="E16" s="22"/>
      <c r="F16" s="22"/>
      <c r="G16" s="23">
        <f>AVERAGE(G6:G13)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0A53-CBE8-4D5F-A965-2536A02A0C76}">
  <sheetPr codeName="Sheet15"/>
  <dimension ref="C4:G16"/>
  <sheetViews>
    <sheetView workbookViewId="0">
      <selection activeCell="H13" sqref="H13"/>
    </sheetView>
  </sheetViews>
  <sheetFormatPr defaultRowHeight="15" x14ac:dyDescent="0.25"/>
  <cols>
    <col min="4" max="4" width="13.28515625" customWidth="1"/>
  </cols>
  <sheetData>
    <row r="4" spans="3:7" x14ac:dyDescent="0.25">
      <c r="C4" s="9" t="s">
        <v>44</v>
      </c>
      <c r="D4" s="10">
        <f ca="1">TODAY()</f>
        <v>44997</v>
      </c>
      <c r="E4" s="11"/>
      <c r="F4" s="11"/>
      <c r="G4" s="12"/>
    </row>
    <row r="5" spans="3:7" x14ac:dyDescent="0.25">
      <c r="C5" s="8" t="s">
        <v>45</v>
      </c>
      <c r="D5" s="8" t="s">
        <v>46</v>
      </c>
      <c r="E5" s="8" t="s">
        <v>1</v>
      </c>
      <c r="F5" s="8" t="s">
        <v>47</v>
      </c>
      <c r="G5" s="8" t="s">
        <v>7</v>
      </c>
    </row>
    <row r="6" spans="3:7" x14ac:dyDescent="0.25">
      <c r="C6" s="3">
        <v>1</v>
      </c>
      <c r="D6" s="2" t="s">
        <v>48</v>
      </c>
      <c r="E6" s="2">
        <v>50</v>
      </c>
      <c r="F6" s="2">
        <v>5</v>
      </c>
      <c r="G6" s="2">
        <f>E6*F6</f>
        <v>250</v>
      </c>
    </row>
    <row r="7" spans="3:7" x14ac:dyDescent="0.25">
      <c r="C7" s="3">
        <v>2</v>
      </c>
      <c r="D7" s="2" t="s">
        <v>49</v>
      </c>
      <c r="E7" s="2">
        <v>25</v>
      </c>
      <c r="F7" s="2">
        <v>10</v>
      </c>
      <c r="G7" s="2">
        <f t="shared" ref="G7:G13" si="0">E7*F7</f>
        <v>250</v>
      </c>
    </row>
    <row r="8" spans="3:7" x14ac:dyDescent="0.25">
      <c r="C8" s="3">
        <v>3</v>
      </c>
      <c r="D8" s="2" t="s">
        <v>50</v>
      </c>
      <c r="E8" s="2">
        <v>18</v>
      </c>
      <c r="F8" s="2">
        <v>200</v>
      </c>
      <c r="G8" s="2">
        <f t="shared" si="0"/>
        <v>3600</v>
      </c>
    </row>
    <row r="9" spans="3:7" x14ac:dyDescent="0.25">
      <c r="C9" s="3">
        <v>4</v>
      </c>
      <c r="D9" s="2" t="s">
        <v>51</v>
      </c>
      <c r="E9" s="2">
        <v>7</v>
      </c>
      <c r="F9" s="2">
        <v>100</v>
      </c>
      <c r="G9" s="2">
        <f t="shared" si="0"/>
        <v>700</v>
      </c>
    </row>
    <row r="10" spans="3:7" x14ac:dyDescent="0.25">
      <c r="C10" s="3">
        <v>5</v>
      </c>
      <c r="D10" s="2" t="s">
        <v>52</v>
      </c>
      <c r="E10" s="2">
        <v>15</v>
      </c>
      <c r="F10" s="2">
        <v>250</v>
      </c>
      <c r="G10" s="2">
        <f t="shared" si="0"/>
        <v>3750</v>
      </c>
    </row>
    <row r="11" spans="3:7" x14ac:dyDescent="0.25">
      <c r="C11" s="3">
        <v>6</v>
      </c>
      <c r="D11" s="2" t="s">
        <v>53</v>
      </c>
      <c r="E11" s="2">
        <v>35</v>
      </c>
      <c r="F11" s="2">
        <v>50</v>
      </c>
      <c r="G11" s="2">
        <f t="shared" si="0"/>
        <v>1750</v>
      </c>
    </row>
    <row r="12" spans="3:7" x14ac:dyDescent="0.25">
      <c r="C12" s="3">
        <v>7</v>
      </c>
      <c r="D12" s="2" t="s">
        <v>54</v>
      </c>
      <c r="E12" s="2">
        <v>150</v>
      </c>
      <c r="F12" s="2">
        <v>5</v>
      </c>
      <c r="G12" s="2">
        <f t="shared" si="0"/>
        <v>750</v>
      </c>
    </row>
    <row r="13" spans="3:7" x14ac:dyDescent="0.25">
      <c r="C13" s="13">
        <v>8</v>
      </c>
      <c r="D13" s="14" t="s">
        <v>55</v>
      </c>
      <c r="E13" s="14">
        <v>90</v>
      </c>
      <c r="F13" s="14">
        <v>25</v>
      </c>
      <c r="G13" s="14">
        <f t="shared" si="0"/>
        <v>2250</v>
      </c>
    </row>
    <row r="14" spans="3:7" x14ac:dyDescent="0.25">
      <c r="C14" s="15"/>
      <c r="D14" s="16"/>
      <c r="E14" s="16"/>
      <c r="F14" s="16"/>
      <c r="G14" s="17"/>
    </row>
    <row r="15" spans="3:7" x14ac:dyDescent="0.25">
      <c r="C15" s="18"/>
      <c r="D15" s="19" t="s">
        <v>56</v>
      </c>
      <c r="E15" s="19"/>
      <c r="F15" s="19"/>
      <c r="G15" s="20">
        <f>SUM(G6:G13)</f>
        <v>13300</v>
      </c>
    </row>
    <row r="16" spans="3:7" x14ac:dyDescent="0.25">
      <c r="C16" s="21"/>
      <c r="D16" s="22" t="s">
        <v>57</v>
      </c>
      <c r="E16" s="22"/>
      <c r="F16" s="22"/>
      <c r="G16" s="23">
        <f>AVERAGE(G6:G13)</f>
        <v>1662.5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0F24B-FF28-4510-9FB9-BC6B7B137D27}">
  <dimension ref="A3:H119"/>
  <sheetViews>
    <sheetView topLeftCell="A40" workbookViewId="0">
      <selection activeCell="B37" sqref="B37"/>
    </sheetView>
  </sheetViews>
  <sheetFormatPr defaultRowHeight="15" x14ac:dyDescent="0.25"/>
  <cols>
    <col min="2" max="2" width="16.42578125" customWidth="1"/>
    <col min="3" max="3" width="14.42578125" customWidth="1"/>
    <col min="4" max="4" width="13.28515625" customWidth="1"/>
    <col min="6" max="6" width="12.7109375" customWidth="1"/>
    <col min="7" max="7" width="10.85546875" customWidth="1"/>
    <col min="8" max="8" width="15.140625" customWidth="1"/>
  </cols>
  <sheetData>
    <row r="3" spans="1:8" x14ac:dyDescent="0.25">
      <c r="A3" s="1"/>
      <c r="B3" s="1" t="s">
        <v>8</v>
      </c>
      <c r="C3" s="1" t="s">
        <v>4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58</v>
      </c>
    </row>
    <row r="4" spans="1:8" x14ac:dyDescent="0.25">
      <c r="A4" s="1"/>
      <c r="B4" s="1" t="s">
        <v>15</v>
      </c>
      <c r="C4" s="1" t="s">
        <v>61</v>
      </c>
      <c r="D4" s="1">
        <v>10549</v>
      </c>
      <c r="E4" s="6">
        <f>D4*30%</f>
        <v>3164.7</v>
      </c>
      <c r="F4" s="6">
        <f>D4*20%</f>
        <v>2109.8000000000002</v>
      </c>
      <c r="G4" s="6">
        <f>D4*12%</f>
        <v>1265.8799999999999</v>
      </c>
      <c r="H4" s="6">
        <f>SUM(D4:G4)</f>
        <v>17089.38</v>
      </c>
    </row>
    <row r="5" spans="1:8" x14ac:dyDescent="0.25">
      <c r="A5" s="1"/>
      <c r="B5" s="1" t="s">
        <v>15</v>
      </c>
      <c r="C5" s="1" t="s">
        <v>5</v>
      </c>
      <c r="D5" s="1">
        <v>11017</v>
      </c>
      <c r="E5" s="6">
        <f t="shared" ref="E5:E68" si="0">D5*30%</f>
        <v>3305.1</v>
      </c>
      <c r="F5" s="6">
        <f t="shared" ref="F5:F68" si="1">D5*20%</f>
        <v>2203.4</v>
      </c>
      <c r="G5" s="6">
        <f t="shared" ref="G5:G68" si="2">D5*12%</f>
        <v>1322.04</v>
      </c>
      <c r="H5" s="6">
        <f t="shared" ref="H5:H68" si="3">SUM(D5:G5)</f>
        <v>17847.54</v>
      </c>
    </row>
    <row r="6" spans="1:8" x14ac:dyDescent="0.25">
      <c r="A6" s="1"/>
      <c r="B6" s="1" t="s">
        <v>15</v>
      </c>
      <c r="C6" s="1" t="s">
        <v>5</v>
      </c>
      <c r="D6" s="1">
        <v>11527</v>
      </c>
      <c r="E6" s="6">
        <f t="shared" si="0"/>
        <v>3458.1</v>
      </c>
      <c r="F6" s="6">
        <f t="shared" si="1"/>
        <v>2305.4</v>
      </c>
      <c r="G6" s="6">
        <f t="shared" si="2"/>
        <v>1383.24</v>
      </c>
      <c r="H6" s="6">
        <f t="shared" si="3"/>
        <v>18673.740000000002</v>
      </c>
    </row>
    <row r="7" spans="1:8" x14ac:dyDescent="0.25">
      <c r="A7" s="1"/>
      <c r="B7" s="1" t="s">
        <v>15</v>
      </c>
      <c r="C7" s="1" t="s">
        <v>62</v>
      </c>
      <c r="D7" s="1">
        <v>10859</v>
      </c>
      <c r="E7" s="6">
        <f t="shared" si="0"/>
        <v>3257.7</v>
      </c>
      <c r="F7" s="6">
        <f t="shared" si="1"/>
        <v>2171.8000000000002</v>
      </c>
      <c r="G7" s="6">
        <f t="shared" si="2"/>
        <v>1303.08</v>
      </c>
      <c r="H7" s="6">
        <f t="shared" si="3"/>
        <v>17591.580000000002</v>
      </c>
    </row>
    <row r="8" spans="1:8" x14ac:dyDescent="0.25">
      <c r="A8" s="1"/>
      <c r="B8" s="1" t="s">
        <v>15</v>
      </c>
      <c r="C8" s="1" t="s">
        <v>2</v>
      </c>
      <c r="D8" s="1">
        <v>11823</v>
      </c>
      <c r="E8" s="6">
        <f t="shared" si="0"/>
        <v>3546.9</v>
      </c>
      <c r="F8" s="6">
        <f t="shared" si="1"/>
        <v>2364.6</v>
      </c>
      <c r="G8" s="6">
        <f t="shared" si="2"/>
        <v>1418.76</v>
      </c>
      <c r="H8" s="6">
        <f t="shared" si="3"/>
        <v>19153.259999999998</v>
      </c>
    </row>
    <row r="9" spans="1:8" x14ac:dyDescent="0.25">
      <c r="A9" s="1"/>
      <c r="B9" s="1" t="s">
        <v>15</v>
      </c>
      <c r="C9" s="1" t="s">
        <v>3</v>
      </c>
      <c r="D9" s="1">
        <v>11367</v>
      </c>
      <c r="E9" s="6">
        <f t="shared" si="0"/>
        <v>3410.1</v>
      </c>
      <c r="F9" s="6">
        <f t="shared" si="1"/>
        <v>2273.4</v>
      </c>
      <c r="G9" s="6">
        <f t="shared" si="2"/>
        <v>1364.04</v>
      </c>
      <c r="H9" s="6">
        <f t="shared" si="3"/>
        <v>18414.54</v>
      </c>
    </row>
    <row r="10" spans="1:8" x14ac:dyDescent="0.25">
      <c r="A10" s="1"/>
      <c r="B10" s="1" t="s">
        <v>15</v>
      </c>
      <c r="C10" s="1" t="s">
        <v>61</v>
      </c>
      <c r="D10" s="1">
        <v>11180</v>
      </c>
      <c r="E10" s="6">
        <f t="shared" si="0"/>
        <v>3354</v>
      </c>
      <c r="F10" s="6">
        <f t="shared" si="1"/>
        <v>2236</v>
      </c>
      <c r="G10" s="6">
        <f t="shared" si="2"/>
        <v>1341.6</v>
      </c>
      <c r="H10" s="6">
        <f t="shared" si="3"/>
        <v>18111.599999999999</v>
      </c>
    </row>
    <row r="11" spans="1:8" x14ac:dyDescent="0.25">
      <c r="A11" s="1"/>
      <c r="B11" s="1" t="s">
        <v>15</v>
      </c>
      <c r="C11" s="1" t="s">
        <v>3</v>
      </c>
      <c r="D11" s="1">
        <v>10708</v>
      </c>
      <c r="E11" s="6">
        <f t="shared" si="0"/>
        <v>3212.4</v>
      </c>
      <c r="F11" s="6">
        <f t="shared" si="1"/>
        <v>2141.6</v>
      </c>
      <c r="G11" s="6">
        <f t="shared" si="2"/>
        <v>1284.96</v>
      </c>
      <c r="H11" s="6">
        <f t="shared" si="3"/>
        <v>17346.96</v>
      </c>
    </row>
    <row r="12" spans="1:8" x14ac:dyDescent="0.25">
      <c r="A12" s="1"/>
      <c r="B12" s="1" t="s">
        <v>15</v>
      </c>
      <c r="C12" s="1" t="s">
        <v>5</v>
      </c>
      <c r="D12" s="1">
        <v>11956</v>
      </c>
      <c r="E12" s="6">
        <f t="shared" si="0"/>
        <v>3586.7999999999997</v>
      </c>
      <c r="F12" s="6">
        <f t="shared" si="1"/>
        <v>2391.2000000000003</v>
      </c>
      <c r="G12" s="6">
        <f t="shared" si="2"/>
        <v>1434.72</v>
      </c>
      <c r="H12" s="6">
        <f t="shared" si="3"/>
        <v>19368.72</v>
      </c>
    </row>
    <row r="13" spans="1:8" x14ac:dyDescent="0.25">
      <c r="A13" s="1"/>
      <c r="B13" s="1" t="s">
        <v>16</v>
      </c>
      <c r="C13" s="1" t="s">
        <v>5</v>
      </c>
      <c r="D13" s="1">
        <v>13848</v>
      </c>
      <c r="E13" s="6">
        <f t="shared" si="0"/>
        <v>4154.3999999999996</v>
      </c>
      <c r="F13" s="6">
        <f t="shared" si="1"/>
        <v>2769.6000000000004</v>
      </c>
      <c r="G13" s="6">
        <f t="shared" si="2"/>
        <v>1661.76</v>
      </c>
      <c r="H13" s="6">
        <f t="shared" si="3"/>
        <v>22433.759999999998</v>
      </c>
    </row>
    <row r="14" spans="1:8" x14ac:dyDescent="0.25">
      <c r="A14" s="1"/>
      <c r="B14" s="1" t="s">
        <v>16</v>
      </c>
      <c r="C14" s="1" t="s">
        <v>62</v>
      </c>
      <c r="D14" s="1">
        <v>13766</v>
      </c>
      <c r="E14" s="6">
        <f t="shared" si="0"/>
        <v>4129.8</v>
      </c>
      <c r="F14" s="6">
        <f t="shared" si="1"/>
        <v>2753.2000000000003</v>
      </c>
      <c r="G14" s="6">
        <f t="shared" si="2"/>
        <v>1651.9199999999998</v>
      </c>
      <c r="H14" s="6">
        <f t="shared" si="3"/>
        <v>22300.92</v>
      </c>
    </row>
    <row r="15" spans="1:8" x14ac:dyDescent="0.25">
      <c r="A15" s="1"/>
      <c r="B15" s="1" t="s">
        <v>16</v>
      </c>
      <c r="C15" s="1" t="s">
        <v>62</v>
      </c>
      <c r="D15" s="1">
        <v>14955</v>
      </c>
      <c r="E15" s="6">
        <f t="shared" si="0"/>
        <v>4486.5</v>
      </c>
      <c r="F15" s="6">
        <f t="shared" si="1"/>
        <v>2991</v>
      </c>
      <c r="G15" s="6">
        <f t="shared" si="2"/>
        <v>1794.6</v>
      </c>
      <c r="H15" s="6">
        <f t="shared" si="3"/>
        <v>24227.1</v>
      </c>
    </row>
    <row r="16" spans="1:8" x14ac:dyDescent="0.25">
      <c r="A16" s="1"/>
      <c r="B16" s="1" t="s">
        <v>16</v>
      </c>
      <c r="C16" s="1" t="s">
        <v>61</v>
      </c>
      <c r="D16" s="1">
        <v>16572</v>
      </c>
      <c r="E16" s="6">
        <f t="shared" si="0"/>
        <v>4971.5999999999995</v>
      </c>
      <c r="F16" s="6">
        <f t="shared" si="1"/>
        <v>3314.4</v>
      </c>
      <c r="G16" s="6">
        <f t="shared" si="2"/>
        <v>1988.6399999999999</v>
      </c>
      <c r="H16" s="6">
        <f t="shared" si="3"/>
        <v>26846.639999999999</v>
      </c>
    </row>
    <row r="17" spans="1:8" x14ac:dyDescent="0.25">
      <c r="A17" s="1"/>
      <c r="B17" s="1" t="s">
        <v>16</v>
      </c>
      <c r="C17" s="1" t="s">
        <v>3</v>
      </c>
      <c r="D17" s="1">
        <v>13612</v>
      </c>
      <c r="E17" s="6">
        <f t="shared" si="0"/>
        <v>4083.6</v>
      </c>
      <c r="F17" s="6">
        <f t="shared" si="1"/>
        <v>2722.4</v>
      </c>
      <c r="G17" s="6">
        <f t="shared" si="2"/>
        <v>1633.4399999999998</v>
      </c>
      <c r="H17" s="6">
        <f t="shared" si="3"/>
        <v>22051.439999999999</v>
      </c>
    </row>
    <row r="18" spans="1:8" x14ac:dyDescent="0.25">
      <c r="A18" s="1"/>
      <c r="B18" s="1" t="s">
        <v>16</v>
      </c>
      <c r="C18" s="1" t="s">
        <v>62</v>
      </c>
      <c r="D18" s="1">
        <v>15676</v>
      </c>
      <c r="E18" s="6">
        <f t="shared" si="0"/>
        <v>4702.8</v>
      </c>
      <c r="F18" s="6">
        <f t="shared" si="1"/>
        <v>3135.2000000000003</v>
      </c>
      <c r="G18" s="6">
        <f t="shared" si="2"/>
        <v>1881.12</v>
      </c>
      <c r="H18" s="6">
        <f t="shared" si="3"/>
        <v>25395.119999999999</v>
      </c>
    </row>
    <row r="19" spans="1:8" x14ac:dyDescent="0.25">
      <c r="A19" s="1"/>
      <c r="B19" s="1" t="s">
        <v>16</v>
      </c>
      <c r="C19" s="1" t="s">
        <v>2</v>
      </c>
      <c r="D19" s="1">
        <v>13433</v>
      </c>
      <c r="E19" s="6">
        <f t="shared" si="0"/>
        <v>4029.8999999999996</v>
      </c>
      <c r="F19" s="6">
        <f t="shared" si="1"/>
        <v>2686.6000000000004</v>
      </c>
      <c r="G19" s="6">
        <f t="shared" si="2"/>
        <v>1611.96</v>
      </c>
      <c r="H19" s="6">
        <f t="shared" si="3"/>
        <v>21761.46</v>
      </c>
    </row>
    <row r="20" spans="1:8" x14ac:dyDescent="0.25">
      <c r="A20" s="1"/>
      <c r="B20" s="1" t="s">
        <v>16</v>
      </c>
      <c r="C20" s="1" t="s">
        <v>61</v>
      </c>
      <c r="D20" s="1">
        <v>16137</v>
      </c>
      <c r="E20" s="6">
        <f t="shared" si="0"/>
        <v>4841.0999999999995</v>
      </c>
      <c r="F20" s="6">
        <f t="shared" si="1"/>
        <v>3227.4</v>
      </c>
      <c r="G20" s="6">
        <f t="shared" si="2"/>
        <v>1936.4399999999998</v>
      </c>
      <c r="H20" s="6">
        <f t="shared" si="3"/>
        <v>26141.94</v>
      </c>
    </row>
    <row r="21" spans="1:8" x14ac:dyDescent="0.25">
      <c r="A21" s="1"/>
      <c r="B21" s="1" t="s">
        <v>16</v>
      </c>
      <c r="C21" s="1" t="s">
        <v>2</v>
      </c>
      <c r="D21" s="1">
        <v>13584</v>
      </c>
      <c r="E21" s="6">
        <f t="shared" si="0"/>
        <v>4075.2</v>
      </c>
      <c r="F21" s="6">
        <f t="shared" si="1"/>
        <v>2716.8</v>
      </c>
      <c r="G21" s="6">
        <f t="shared" si="2"/>
        <v>1630.08</v>
      </c>
      <c r="H21" s="6">
        <f t="shared" si="3"/>
        <v>22006.080000000002</v>
      </c>
    </row>
    <row r="22" spans="1:8" x14ac:dyDescent="0.25">
      <c r="A22" s="1"/>
      <c r="B22" s="1" t="s">
        <v>16</v>
      </c>
      <c r="C22" s="1" t="s">
        <v>63</v>
      </c>
      <c r="D22" s="1">
        <v>15623</v>
      </c>
      <c r="E22" s="6">
        <f t="shared" si="0"/>
        <v>4686.8999999999996</v>
      </c>
      <c r="F22" s="6">
        <f t="shared" si="1"/>
        <v>3124.6000000000004</v>
      </c>
      <c r="G22" s="6">
        <f t="shared" si="2"/>
        <v>1874.76</v>
      </c>
      <c r="H22" s="6">
        <f t="shared" si="3"/>
        <v>25309.26</v>
      </c>
    </row>
    <row r="23" spans="1:8" x14ac:dyDescent="0.25">
      <c r="A23" s="1"/>
      <c r="B23" s="1" t="s">
        <v>16</v>
      </c>
      <c r="C23" s="1" t="s">
        <v>5</v>
      </c>
      <c r="D23" s="1">
        <v>16710</v>
      </c>
      <c r="E23" s="6">
        <f t="shared" si="0"/>
        <v>5013</v>
      </c>
      <c r="F23" s="6">
        <f t="shared" si="1"/>
        <v>3342</v>
      </c>
      <c r="G23" s="6">
        <f t="shared" si="2"/>
        <v>2005.1999999999998</v>
      </c>
      <c r="H23" s="6">
        <f t="shared" si="3"/>
        <v>27070.2</v>
      </c>
    </row>
    <row r="24" spans="1:8" x14ac:dyDescent="0.25">
      <c r="A24" s="1"/>
      <c r="B24" s="1" t="s">
        <v>16</v>
      </c>
      <c r="C24" s="1" t="s">
        <v>5</v>
      </c>
      <c r="D24" s="1">
        <v>16881</v>
      </c>
      <c r="E24" s="6">
        <f t="shared" si="0"/>
        <v>5064.3</v>
      </c>
      <c r="F24" s="6">
        <f t="shared" si="1"/>
        <v>3376.2000000000003</v>
      </c>
      <c r="G24" s="6">
        <f t="shared" si="2"/>
        <v>2025.72</v>
      </c>
      <c r="H24" s="6">
        <f t="shared" si="3"/>
        <v>27347.22</v>
      </c>
    </row>
    <row r="25" spans="1:8" x14ac:dyDescent="0.25">
      <c r="A25" s="1"/>
      <c r="B25" s="1" t="s">
        <v>16</v>
      </c>
      <c r="C25" s="1" t="s">
        <v>2</v>
      </c>
      <c r="D25" s="1">
        <v>16228</v>
      </c>
      <c r="E25" s="6">
        <f t="shared" si="0"/>
        <v>4868.3999999999996</v>
      </c>
      <c r="F25" s="6">
        <f t="shared" si="1"/>
        <v>3245.6000000000004</v>
      </c>
      <c r="G25" s="6">
        <f t="shared" si="2"/>
        <v>1947.36</v>
      </c>
      <c r="H25" s="6">
        <f t="shared" si="3"/>
        <v>26289.360000000001</v>
      </c>
    </row>
    <row r="26" spans="1:8" x14ac:dyDescent="0.25">
      <c r="A26" s="1"/>
      <c r="B26" s="1" t="s">
        <v>16</v>
      </c>
      <c r="C26" s="1" t="s">
        <v>61</v>
      </c>
      <c r="D26" s="1">
        <v>17777</v>
      </c>
      <c r="E26" s="6">
        <f t="shared" si="0"/>
        <v>5333.0999999999995</v>
      </c>
      <c r="F26" s="6">
        <f t="shared" si="1"/>
        <v>3555.4</v>
      </c>
      <c r="G26" s="6">
        <f t="shared" si="2"/>
        <v>2133.2399999999998</v>
      </c>
      <c r="H26" s="6">
        <f t="shared" si="3"/>
        <v>28798.739999999998</v>
      </c>
    </row>
    <row r="27" spans="1:8" x14ac:dyDescent="0.25">
      <c r="A27" s="1"/>
      <c r="B27" s="1" t="s">
        <v>16</v>
      </c>
      <c r="C27" s="1" t="s">
        <v>3</v>
      </c>
      <c r="D27" s="1">
        <v>14858</v>
      </c>
      <c r="E27" s="6">
        <f t="shared" si="0"/>
        <v>4457.3999999999996</v>
      </c>
      <c r="F27" s="6">
        <f t="shared" si="1"/>
        <v>2971.6000000000004</v>
      </c>
      <c r="G27" s="6">
        <f t="shared" si="2"/>
        <v>1782.96</v>
      </c>
      <c r="H27" s="6">
        <f t="shared" si="3"/>
        <v>24069.96</v>
      </c>
    </row>
    <row r="28" spans="1:8" x14ac:dyDescent="0.25">
      <c r="A28" s="1"/>
      <c r="B28" s="1" t="s">
        <v>16</v>
      </c>
      <c r="C28" s="1" t="s">
        <v>63</v>
      </c>
      <c r="D28" s="1">
        <v>14659</v>
      </c>
      <c r="E28" s="6">
        <f t="shared" si="0"/>
        <v>4397.7</v>
      </c>
      <c r="F28" s="6">
        <f t="shared" si="1"/>
        <v>2931.8</v>
      </c>
      <c r="G28" s="6">
        <f t="shared" si="2"/>
        <v>1759.08</v>
      </c>
      <c r="H28" s="6">
        <f t="shared" si="3"/>
        <v>23747.58</v>
      </c>
    </row>
    <row r="29" spans="1:8" x14ac:dyDescent="0.25">
      <c r="A29" s="1"/>
      <c r="B29" s="1" t="s">
        <v>16</v>
      </c>
      <c r="C29" s="1" t="s">
        <v>62</v>
      </c>
      <c r="D29" s="1">
        <v>15069</v>
      </c>
      <c r="E29" s="6">
        <f t="shared" si="0"/>
        <v>4520.7</v>
      </c>
      <c r="F29" s="6">
        <f t="shared" si="1"/>
        <v>3013.8</v>
      </c>
      <c r="G29" s="6">
        <f t="shared" si="2"/>
        <v>1808.28</v>
      </c>
      <c r="H29" s="6">
        <f t="shared" si="3"/>
        <v>24411.78</v>
      </c>
    </row>
    <row r="30" spans="1:8" x14ac:dyDescent="0.25">
      <c r="A30" s="1"/>
      <c r="B30" s="1" t="s">
        <v>16</v>
      </c>
      <c r="C30" s="1" t="s">
        <v>63</v>
      </c>
      <c r="D30" s="1">
        <v>17437</v>
      </c>
      <c r="E30" s="6">
        <f t="shared" si="0"/>
        <v>5231.0999999999995</v>
      </c>
      <c r="F30" s="6">
        <f t="shared" si="1"/>
        <v>3487.4</v>
      </c>
      <c r="G30" s="6">
        <f t="shared" si="2"/>
        <v>2092.44</v>
      </c>
      <c r="H30" s="6">
        <f t="shared" si="3"/>
        <v>28247.94</v>
      </c>
    </row>
    <row r="31" spans="1:8" x14ac:dyDescent="0.25">
      <c r="A31" s="1"/>
      <c r="B31" s="1" t="s">
        <v>16</v>
      </c>
      <c r="C31" s="1" t="s">
        <v>5</v>
      </c>
      <c r="D31" s="1">
        <v>14378</v>
      </c>
      <c r="E31" s="6">
        <f t="shared" si="0"/>
        <v>4313.3999999999996</v>
      </c>
      <c r="F31" s="6">
        <f t="shared" si="1"/>
        <v>2875.6000000000004</v>
      </c>
      <c r="G31" s="6">
        <f t="shared" si="2"/>
        <v>1725.36</v>
      </c>
      <c r="H31" s="6">
        <f t="shared" si="3"/>
        <v>23292.36</v>
      </c>
    </row>
    <row r="32" spans="1:8" x14ac:dyDescent="0.25">
      <c r="A32" s="1"/>
      <c r="B32" s="1" t="s">
        <v>16</v>
      </c>
      <c r="C32" s="1" t="s">
        <v>62</v>
      </c>
      <c r="D32" s="1">
        <v>17660</v>
      </c>
      <c r="E32" s="6">
        <f t="shared" si="0"/>
        <v>5298</v>
      </c>
      <c r="F32" s="6">
        <f t="shared" si="1"/>
        <v>3532</v>
      </c>
      <c r="G32" s="6">
        <f t="shared" si="2"/>
        <v>2119.1999999999998</v>
      </c>
      <c r="H32" s="6">
        <f t="shared" si="3"/>
        <v>28609.200000000001</v>
      </c>
    </row>
    <row r="33" spans="1:8" x14ac:dyDescent="0.25">
      <c r="A33" s="1"/>
      <c r="B33" s="1" t="s">
        <v>16</v>
      </c>
      <c r="C33" s="1" t="s">
        <v>5</v>
      </c>
      <c r="D33" s="1">
        <v>15067</v>
      </c>
      <c r="E33" s="6">
        <f t="shared" si="0"/>
        <v>4520.0999999999995</v>
      </c>
      <c r="F33" s="6">
        <f t="shared" si="1"/>
        <v>3013.4</v>
      </c>
      <c r="G33" s="6">
        <f t="shared" si="2"/>
        <v>1808.04</v>
      </c>
      <c r="H33" s="6">
        <f t="shared" si="3"/>
        <v>24408.54</v>
      </c>
    </row>
    <row r="34" spans="1:8" x14ac:dyDescent="0.25">
      <c r="A34" s="1"/>
      <c r="B34" s="1" t="s">
        <v>16</v>
      </c>
      <c r="C34" s="1" t="s">
        <v>3</v>
      </c>
      <c r="D34" s="1">
        <v>15581</v>
      </c>
      <c r="E34" s="6">
        <f t="shared" si="0"/>
        <v>4674.3</v>
      </c>
      <c r="F34" s="6">
        <f t="shared" si="1"/>
        <v>3116.2000000000003</v>
      </c>
      <c r="G34" s="6">
        <f t="shared" si="2"/>
        <v>1869.72</v>
      </c>
      <c r="H34" s="6">
        <f t="shared" si="3"/>
        <v>25241.22</v>
      </c>
    </row>
    <row r="35" spans="1:8" x14ac:dyDescent="0.25">
      <c r="A35" s="1"/>
      <c r="B35" s="1" t="s">
        <v>16</v>
      </c>
      <c r="C35" s="1" t="s">
        <v>3</v>
      </c>
      <c r="D35" s="1">
        <v>14244</v>
      </c>
      <c r="E35" s="6">
        <f t="shared" si="0"/>
        <v>4273.2</v>
      </c>
      <c r="F35" s="6">
        <f t="shared" si="1"/>
        <v>2848.8</v>
      </c>
      <c r="G35" s="6">
        <f t="shared" si="2"/>
        <v>1709.28</v>
      </c>
      <c r="H35" s="6">
        <f t="shared" si="3"/>
        <v>23075.279999999999</v>
      </c>
    </row>
    <row r="36" spans="1:8" x14ac:dyDescent="0.25">
      <c r="A36" s="1"/>
      <c r="B36" s="1" t="s">
        <v>16</v>
      </c>
      <c r="C36" s="1" t="s">
        <v>61</v>
      </c>
      <c r="D36" s="1">
        <v>16872</v>
      </c>
      <c r="E36" s="6">
        <f t="shared" si="0"/>
        <v>5061.5999999999995</v>
      </c>
      <c r="F36" s="6">
        <f t="shared" si="1"/>
        <v>3374.4</v>
      </c>
      <c r="G36" s="6">
        <f t="shared" si="2"/>
        <v>2024.6399999999999</v>
      </c>
      <c r="H36" s="6">
        <f t="shared" si="3"/>
        <v>27332.639999999999</v>
      </c>
    </row>
    <row r="37" spans="1:8" x14ac:dyDescent="0.25">
      <c r="A37" s="1"/>
      <c r="B37" s="1" t="s">
        <v>18</v>
      </c>
      <c r="C37" s="1" t="s">
        <v>3</v>
      </c>
      <c r="D37" s="1">
        <v>18724</v>
      </c>
      <c r="E37" s="6">
        <f t="shared" si="0"/>
        <v>5617.2</v>
      </c>
      <c r="F37" s="6">
        <f t="shared" si="1"/>
        <v>3744.8</v>
      </c>
      <c r="G37" s="6">
        <f t="shared" si="2"/>
        <v>2246.88</v>
      </c>
      <c r="H37" s="6">
        <f t="shared" si="3"/>
        <v>30332.880000000001</v>
      </c>
    </row>
    <row r="38" spans="1:8" x14ac:dyDescent="0.25">
      <c r="A38" s="1"/>
      <c r="B38" s="1" t="s">
        <v>18</v>
      </c>
      <c r="C38" s="1" t="s">
        <v>5</v>
      </c>
      <c r="D38" s="1">
        <v>23923</v>
      </c>
      <c r="E38" s="6">
        <f t="shared" si="0"/>
        <v>7176.9</v>
      </c>
      <c r="F38" s="6">
        <f t="shared" si="1"/>
        <v>4784.6000000000004</v>
      </c>
      <c r="G38" s="6">
        <f t="shared" si="2"/>
        <v>2870.7599999999998</v>
      </c>
      <c r="H38" s="6">
        <f t="shared" si="3"/>
        <v>38755.26</v>
      </c>
    </row>
    <row r="39" spans="1:8" x14ac:dyDescent="0.25">
      <c r="A39" s="1"/>
      <c r="B39" s="1" t="s">
        <v>18</v>
      </c>
      <c r="C39" s="1" t="s">
        <v>61</v>
      </c>
      <c r="D39" s="1">
        <v>23015</v>
      </c>
      <c r="E39" s="6">
        <f t="shared" si="0"/>
        <v>6904.5</v>
      </c>
      <c r="F39" s="6">
        <f t="shared" si="1"/>
        <v>4603</v>
      </c>
      <c r="G39" s="6">
        <f t="shared" si="2"/>
        <v>2761.7999999999997</v>
      </c>
      <c r="H39" s="6">
        <f t="shared" si="3"/>
        <v>37284.300000000003</v>
      </c>
    </row>
    <row r="40" spans="1:8" x14ac:dyDescent="0.25">
      <c r="A40" s="1"/>
      <c r="B40" s="1" t="s">
        <v>18</v>
      </c>
      <c r="C40" s="1" t="s">
        <v>62</v>
      </c>
      <c r="D40" s="1">
        <v>24641</v>
      </c>
      <c r="E40" s="6">
        <f t="shared" si="0"/>
        <v>7392.2999999999993</v>
      </c>
      <c r="F40" s="6">
        <f t="shared" si="1"/>
        <v>4928.2000000000007</v>
      </c>
      <c r="G40" s="6">
        <f t="shared" si="2"/>
        <v>2956.92</v>
      </c>
      <c r="H40" s="6">
        <f t="shared" si="3"/>
        <v>39918.42</v>
      </c>
    </row>
    <row r="41" spans="1:8" x14ac:dyDescent="0.25">
      <c r="A41" s="1"/>
      <c r="B41" s="1" t="s">
        <v>18</v>
      </c>
      <c r="C41" s="1" t="s">
        <v>63</v>
      </c>
      <c r="D41" s="1">
        <v>23836</v>
      </c>
      <c r="E41" s="6">
        <f t="shared" si="0"/>
        <v>7150.8</v>
      </c>
      <c r="F41" s="6">
        <f t="shared" si="1"/>
        <v>4767.2</v>
      </c>
      <c r="G41" s="6">
        <f t="shared" si="2"/>
        <v>2860.3199999999997</v>
      </c>
      <c r="H41" s="6">
        <f t="shared" si="3"/>
        <v>38614.32</v>
      </c>
    </row>
    <row r="42" spans="1:8" x14ac:dyDescent="0.25">
      <c r="A42" s="1"/>
      <c r="B42" s="1" t="s">
        <v>18</v>
      </c>
      <c r="C42" s="1" t="s">
        <v>61</v>
      </c>
      <c r="D42" s="1">
        <v>23145</v>
      </c>
      <c r="E42" s="6">
        <f t="shared" si="0"/>
        <v>6943.5</v>
      </c>
      <c r="F42" s="6">
        <f t="shared" si="1"/>
        <v>4629</v>
      </c>
      <c r="G42" s="6">
        <f t="shared" si="2"/>
        <v>2777.4</v>
      </c>
      <c r="H42" s="6">
        <f t="shared" si="3"/>
        <v>37494.9</v>
      </c>
    </row>
    <row r="43" spans="1:8" x14ac:dyDescent="0.25">
      <c r="A43" s="1"/>
      <c r="B43" s="1" t="s">
        <v>18</v>
      </c>
      <c r="C43" s="1" t="s">
        <v>2</v>
      </c>
      <c r="D43" s="1">
        <v>20329</v>
      </c>
      <c r="E43" s="6">
        <f t="shared" si="0"/>
        <v>6098.7</v>
      </c>
      <c r="F43" s="6">
        <f t="shared" si="1"/>
        <v>4065.8</v>
      </c>
      <c r="G43" s="6">
        <f t="shared" si="2"/>
        <v>2439.48</v>
      </c>
      <c r="H43" s="6">
        <f t="shared" si="3"/>
        <v>32932.980000000003</v>
      </c>
    </row>
    <row r="44" spans="1:8" x14ac:dyDescent="0.25">
      <c r="A44" s="1"/>
      <c r="B44" s="1" t="s">
        <v>18</v>
      </c>
      <c r="C44" s="1" t="s">
        <v>3</v>
      </c>
      <c r="D44" s="1">
        <v>25422</v>
      </c>
      <c r="E44" s="6">
        <f t="shared" si="0"/>
        <v>7626.5999999999995</v>
      </c>
      <c r="F44" s="6">
        <f t="shared" si="1"/>
        <v>5084.4000000000005</v>
      </c>
      <c r="G44" s="6">
        <f t="shared" si="2"/>
        <v>3050.64</v>
      </c>
      <c r="H44" s="6">
        <f t="shared" si="3"/>
        <v>41183.64</v>
      </c>
    </row>
    <row r="45" spans="1:8" x14ac:dyDescent="0.25">
      <c r="A45" s="1"/>
      <c r="B45" s="1" t="s">
        <v>18</v>
      </c>
      <c r="C45" s="1" t="s">
        <v>63</v>
      </c>
      <c r="D45" s="1">
        <v>18804</v>
      </c>
      <c r="E45" s="6">
        <f t="shared" si="0"/>
        <v>5641.2</v>
      </c>
      <c r="F45" s="6">
        <f t="shared" si="1"/>
        <v>3760.8</v>
      </c>
      <c r="G45" s="6">
        <f t="shared" si="2"/>
        <v>2256.48</v>
      </c>
      <c r="H45" s="6">
        <f t="shared" si="3"/>
        <v>30462.48</v>
      </c>
    </row>
    <row r="46" spans="1:8" x14ac:dyDescent="0.25">
      <c r="A46" s="1"/>
      <c r="B46" s="1" t="s">
        <v>18</v>
      </c>
      <c r="C46" s="1" t="s">
        <v>2</v>
      </c>
      <c r="D46" s="1">
        <v>24357</v>
      </c>
      <c r="E46" s="6">
        <f t="shared" si="0"/>
        <v>7307.0999999999995</v>
      </c>
      <c r="F46" s="6">
        <f t="shared" si="1"/>
        <v>4871.4000000000005</v>
      </c>
      <c r="G46" s="6">
        <f t="shared" si="2"/>
        <v>2922.8399999999997</v>
      </c>
      <c r="H46" s="6">
        <f t="shared" si="3"/>
        <v>39458.339999999997</v>
      </c>
    </row>
    <row r="47" spans="1:8" x14ac:dyDescent="0.25">
      <c r="A47" s="1"/>
      <c r="B47" s="1" t="s">
        <v>18</v>
      </c>
      <c r="C47" s="1" t="s">
        <v>61</v>
      </c>
      <c r="D47" s="1">
        <v>24221</v>
      </c>
      <c r="E47" s="6">
        <f t="shared" si="0"/>
        <v>7266.3</v>
      </c>
      <c r="F47" s="6">
        <f t="shared" si="1"/>
        <v>4844.2</v>
      </c>
      <c r="G47" s="6">
        <f t="shared" si="2"/>
        <v>2906.52</v>
      </c>
      <c r="H47" s="6">
        <f t="shared" si="3"/>
        <v>39238.019999999997</v>
      </c>
    </row>
    <row r="48" spans="1:8" x14ac:dyDescent="0.25">
      <c r="A48" s="1"/>
      <c r="B48" s="1" t="s">
        <v>18</v>
      </c>
      <c r="C48" s="1" t="s">
        <v>5</v>
      </c>
      <c r="D48" s="1">
        <v>22288</v>
      </c>
      <c r="E48" s="6">
        <f t="shared" si="0"/>
        <v>6686.4</v>
      </c>
      <c r="F48" s="6">
        <f t="shared" si="1"/>
        <v>4457.6000000000004</v>
      </c>
      <c r="G48" s="6">
        <f t="shared" si="2"/>
        <v>2674.56</v>
      </c>
      <c r="H48" s="6">
        <f t="shared" si="3"/>
        <v>36106.559999999998</v>
      </c>
    </row>
    <row r="49" spans="1:8" x14ac:dyDescent="0.25">
      <c r="A49" s="1"/>
      <c r="B49" s="1" t="s">
        <v>18</v>
      </c>
      <c r="C49" s="1" t="s">
        <v>61</v>
      </c>
      <c r="D49" s="1">
        <v>19929</v>
      </c>
      <c r="E49" s="6">
        <f t="shared" si="0"/>
        <v>5978.7</v>
      </c>
      <c r="F49" s="6">
        <f t="shared" si="1"/>
        <v>3985.8</v>
      </c>
      <c r="G49" s="6">
        <f t="shared" si="2"/>
        <v>2391.48</v>
      </c>
      <c r="H49" s="6">
        <f t="shared" si="3"/>
        <v>32284.98</v>
      </c>
    </row>
    <row r="50" spans="1:8" x14ac:dyDescent="0.25">
      <c r="A50" s="1"/>
      <c r="B50" s="1" t="s">
        <v>18</v>
      </c>
      <c r="C50" s="1" t="s">
        <v>5</v>
      </c>
      <c r="D50" s="1">
        <v>25500</v>
      </c>
      <c r="E50" s="6">
        <f t="shared" si="0"/>
        <v>7650</v>
      </c>
      <c r="F50" s="6">
        <f t="shared" si="1"/>
        <v>5100</v>
      </c>
      <c r="G50" s="6">
        <f t="shared" si="2"/>
        <v>3060</v>
      </c>
      <c r="H50" s="6">
        <f t="shared" si="3"/>
        <v>41310</v>
      </c>
    </row>
    <row r="51" spans="1:8" x14ac:dyDescent="0.25">
      <c r="A51" s="1"/>
      <c r="B51" s="1" t="s">
        <v>18</v>
      </c>
      <c r="C51" s="1" t="s">
        <v>61</v>
      </c>
      <c r="D51" s="1">
        <v>23306</v>
      </c>
      <c r="E51" s="6">
        <f t="shared" si="0"/>
        <v>6991.8</v>
      </c>
      <c r="F51" s="6">
        <f t="shared" si="1"/>
        <v>4661.2</v>
      </c>
      <c r="G51" s="6">
        <f t="shared" si="2"/>
        <v>2796.72</v>
      </c>
      <c r="H51" s="6">
        <f t="shared" si="3"/>
        <v>37755.72</v>
      </c>
    </row>
    <row r="52" spans="1:8" x14ac:dyDescent="0.25">
      <c r="A52" s="1"/>
      <c r="B52" s="1" t="s">
        <v>18</v>
      </c>
      <c r="C52" s="1" t="s">
        <v>63</v>
      </c>
      <c r="D52" s="1">
        <v>18639</v>
      </c>
      <c r="E52" s="6">
        <f t="shared" si="0"/>
        <v>5591.7</v>
      </c>
      <c r="F52" s="6">
        <f t="shared" si="1"/>
        <v>3727.8</v>
      </c>
      <c r="G52" s="6">
        <f t="shared" si="2"/>
        <v>2236.6799999999998</v>
      </c>
      <c r="H52" s="6">
        <f t="shared" si="3"/>
        <v>30195.18</v>
      </c>
    </row>
    <row r="53" spans="1:8" x14ac:dyDescent="0.25">
      <c r="A53" s="1"/>
      <c r="B53" s="1" t="s">
        <v>18</v>
      </c>
      <c r="C53" s="1" t="s">
        <v>5</v>
      </c>
      <c r="D53" s="1">
        <v>21626</v>
      </c>
      <c r="E53" s="6">
        <f t="shared" si="0"/>
        <v>6487.8</v>
      </c>
      <c r="F53" s="6">
        <f t="shared" si="1"/>
        <v>4325.2</v>
      </c>
      <c r="G53" s="6">
        <f t="shared" si="2"/>
        <v>2595.12</v>
      </c>
      <c r="H53" s="6">
        <f t="shared" si="3"/>
        <v>35034.120000000003</v>
      </c>
    </row>
    <row r="54" spans="1:8" x14ac:dyDescent="0.25">
      <c r="A54" s="1"/>
      <c r="B54" s="1" t="s">
        <v>18</v>
      </c>
      <c r="C54" s="1" t="s">
        <v>61</v>
      </c>
      <c r="D54" s="1">
        <v>24189</v>
      </c>
      <c r="E54" s="6">
        <f t="shared" si="0"/>
        <v>7256.7</v>
      </c>
      <c r="F54" s="6">
        <f t="shared" si="1"/>
        <v>4837.8</v>
      </c>
      <c r="G54" s="6">
        <f t="shared" si="2"/>
        <v>2902.68</v>
      </c>
      <c r="H54" s="6">
        <f t="shared" si="3"/>
        <v>39186.18</v>
      </c>
    </row>
    <row r="55" spans="1:8" x14ac:dyDescent="0.25">
      <c r="A55" s="1"/>
      <c r="B55" s="1" t="s">
        <v>18</v>
      </c>
      <c r="C55" s="1" t="s">
        <v>61</v>
      </c>
      <c r="D55" s="1">
        <v>24278</v>
      </c>
      <c r="E55" s="6">
        <f t="shared" si="0"/>
        <v>7283.4</v>
      </c>
      <c r="F55" s="6">
        <f t="shared" si="1"/>
        <v>4855.6000000000004</v>
      </c>
      <c r="G55" s="6">
        <f t="shared" si="2"/>
        <v>2913.3599999999997</v>
      </c>
      <c r="H55" s="6">
        <f t="shared" si="3"/>
        <v>39330.36</v>
      </c>
    </row>
    <row r="56" spans="1:8" x14ac:dyDescent="0.25">
      <c r="A56" s="1"/>
      <c r="B56" s="1" t="s">
        <v>18</v>
      </c>
      <c r="C56" s="1" t="s">
        <v>62</v>
      </c>
      <c r="D56" s="1">
        <v>25284</v>
      </c>
      <c r="E56" s="6">
        <f t="shared" si="0"/>
        <v>7585.2</v>
      </c>
      <c r="F56" s="6">
        <f t="shared" si="1"/>
        <v>5056.8</v>
      </c>
      <c r="G56" s="6">
        <f t="shared" si="2"/>
        <v>3034.08</v>
      </c>
      <c r="H56" s="6">
        <f t="shared" si="3"/>
        <v>40960.080000000002</v>
      </c>
    </row>
    <row r="57" spans="1:8" x14ac:dyDescent="0.25">
      <c r="A57" s="1"/>
      <c r="B57" s="1" t="s">
        <v>18</v>
      </c>
      <c r="C57" s="1" t="s">
        <v>3</v>
      </c>
      <c r="D57" s="1">
        <v>21672</v>
      </c>
      <c r="E57" s="6">
        <f t="shared" si="0"/>
        <v>6501.5999999999995</v>
      </c>
      <c r="F57" s="6">
        <f t="shared" si="1"/>
        <v>4334.4000000000005</v>
      </c>
      <c r="G57" s="6">
        <f t="shared" si="2"/>
        <v>2600.64</v>
      </c>
      <c r="H57" s="6">
        <f t="shared" si="3"/>
        <v>35108.639999999999</v>
      </c>
    </row>
    <row r="58" spans="1:8" x14ac:dyDescent="0.25">
      <c r="A58" s="1"/>
      <c r="B58" s="1" t="s">
        <v>18</v>
      </c>
      <c r="C58" s="1" t="s">
        <v>62</v>
      </c>
      <c r="D58" s="1">
        <v>24334</v>
      </c>
      <c r="E58" s="6">
        <f t="shared" si="0"/>
        <v>7300.2</v>
      </c>
      <c r="F58" s="6">
        <f t="shared" si="1"/>
        <v>4866.8</v>
      </c>
      <c r="G58" s="6">
        <f t="shared" si="2"/>
        <v>2920.08</v>
      </c>
      <c r="H58" s="6">
        <f t="shared" si="3"/>
        <v>39421.08</v>
      </c>
    </row>
    <row r="59" spans="1:8" x14ac:dyDescent="0.25">
      <c r="A59" s="1"/>
      <c r="B59" s="1" t="s">
        <v>18</v>
      </c>
      <c r="C59" s="1" t="s">
        <v>2</v>
      </c>
      <c r="D59" s="1">
        <v>20286</v>
      </c>
      <c r="E59" s="6">
        <f t="shared" si="0"/>
        <v>6085.8</v>
      </c>
      <c r="F59" s="6">
        <f t="shared" si="1"/>
        <v>4057.2000000000003</v>
      </c>
      <c r="G59" s="6">
        <f t="shared" si="2"/>
        <v>2434.3199999999997</v>
      </c>
      <c r="H59" s="6">
        <f t="shared" si="3"/>
        <v>32863.32</v>
      </c>
    </row>
    <row r="60" spans="1:8" x14ac:dyDescent="0.25">
      <c r="A60" s="1"/>
      <c r="B60" s="1" t="s">
        <v>18</v>
      </c>
      <c r="C60" s="1" t="s">
        <v>2</v>
      </c>
      <c r="D60" s="1">
        <v>18821</v>
      </c>
      <c r="E60" s="6">
        <f t="shared" si="0"/>
        <v>5646.3</v>
      </c>
      <c r="F60" s="6">
        <f t="shared" si="1"/>
        <v>3764.2000000000003</v>
      </c>
      <c r="G60" s="6">
        <f t="shared" si="2"/>
        <v>2258.52</v>
      </c>
      <c r="H60" s="6">
        <f t="shared" si="3"/>
        <v>30490.02</v>
      </c>
    </row>
    <row r="61" spans="1:8" x14ac:dyDescent="0.25">
      <c r="A61" s="1"/>
      <c r="B61" s="1" t="s">
        <v>18</v>
      </c>
      <c r="C61" s="1" t="s">
        <v>61</v>
      </c>
      <c r="D61" s="1">
        <v>25934</v>
      </c>
      <c r="E61" s="6">
        <f t="shared" si="0"/>
        <v>7780.2</v>
      </c>
      <c r="F61" s="6">
        <f t="shared" si="1"/>
        <v>5186.8</v>
      </c>
      <c r="G61" s="6">
        <f t="shared" si="2"/>
        <v>3112.08</v>
      </c>
      <c r="H61" s="6">
        <f t="shared" si="3"/>
        <v>42013.08</v>
      </c>
    </row>
    <row r="62" spans="1:8" x14ac:dyDescent="0.25">
      <c r="A62" s="1"/>
      <c r="B62" s="1" t="s">
        <v>18</v>
      </c>
      <c r="C62" s="1" t="s">
        <v>3</v>
      </c>
      <c r="D62" s="1">
        <v>23770</v>
      </c>
      <c r="E62" s="6">
        <f t="shared" si="0"/>
        <v>7131</v>
      </c>
      <c r="F62" s="6">
        <f t="shared" si="1"/>
        <v>4754</v>
      </c>
      <c r="G62" s="6">
        <f t="shared" si="2"/>
        <v>2852.4</v>
      </c>
      <c r="H62" s="6">
        <f t="shared" si="3"/>
        <v>38507.4</v>
      </c>
    </row>
    <row r="63" spans="1:8" x14ac:dyDescent="0.25">
      <c r="A63" s="1"/>
      <c r="B63" s="1" t="s">
        <v>18</v>
      </c>
      <c r="C63" s="1" t="s">
        <v>3</v>
      </c>
      <c r="D63" s="1">
        <v>24582</v>
      </c>
      <c r="E63" s="6">
        <f t="shared" si="0"/>
        <v>7374.5999999999995</v>
      </c>
      <c r="F63" s="6">
        <f t="shared" si="1"/>
        <v>4916.4000000000005</v>
      </c>
      <c r="G63" s="6">
        <f t="shared" si="2"/>
        <v>2949.8399999999997</v>
      </c>
      <c r="H63" s="6">
        <f t="shared" si="3"/>
        <v>39822.839999999997</v>
      </c>
    </row>
    <row r="64" spans="1:8" x14ac:dyDescent="0.25">
      <c r="A64" s="1"/>
      <c r="B64" s="1" t="s">
        <v>18</v>
      </c>
      <c r="C64" s="1" t="s">
        <v>61</v>
      </c>
      <c r="D64" s="1">
        <v>25341</v>
      </c>
      <c r="E64" s="6">
        <f t="shared" si="0"/>
        <v>7602.2999999999993</v>
      </c>
      <c r="F64" s="6">
        <f t="shared" si="1"/>
        <v>5068.2000000000007</v>
      </c>
      <c r="G64" s="6">
        <f t="shared" si="2"/>
        <v>3040.92</v>
      </c>
      <c r="H64" s="6">
        <f t="shared" si="3"/>
        <v>41052.42</v>
      </c>
    </row>
    <row r="65" spans="1:8" x14ac:dyDescent="0.25">
      <c r="A65" s="1"/>
      <c r="B65" s="1" t="s">
        <v>18</v>
      </c>
      <c r="C65" s="1" t="s">
        <v>62</v>
      </c>
      <c r="D65" s="1">
        <v>25949</v>
      </c>
      <c r="E65" s="6">
        <f t="shared" si="0"/>
        <v>7784.7</v>
      </c>
      <c r="F65" s="6">
        <f t="shared" si="1"/>
        <v>5189.8</v>
      </c>
      <c r="G65" s="6">
        <f t="shared" si="2"/>
        <v>3113.88</v>
      </c>
      <c r="H65" s="6">
        <f t="shared" si="3"/>
        <v>42037.38</v>
      </c>
    </row>
    <row r="66" spans="1:8" x14ac:dyDescent="0.25">
      <c r="A66" s="1"/>
      <c r="B66" s="1" t="s">
        <v>18</v>
      </c>
      <c r="C66" s="1" t="s">
        <v>61</v>
      </c>
      <c r="D66" s="1">
        <v>22869</v>
      </c>
      <c r="E66" s="6">
        <f t="shared" si="0"/>
        <v>6860.7</v>
      </c>
      <c r="F66" s="6">
        <f t="shared" si="1"/>
        <v>4573.8</v>
      </c>
      <c r="G66" s="6">
        <f t="shared" si="2"/>
        <v>2744.2799999999997</v>
      </c>
      <c r="H66" s="6">
        <f t="shared" si="3"/>
        <v>37047.78</v>
      </c>
    </row>
    <row r="67" spans="1:8" x14ac:dyDescent="0.25">
      <c r="A67" s="1"/>
      <c r="B67" s="1" t="s">
        <v>18</v>
      </c>
      <c r="C67" s="1" t="s">
        <v>63</v>
      </c>
      <c r="D67" s="1">
        <v>21965</v>
      </c>
      <c r="E67" s="6">
        <f t="shared" si="0"/>
        <v>6589.5</v>
      </c>
      <c r="F67" s="6">
        <f t="shared" si="1"/>
        <v>4393</v>
      </c>
      <c r="G67" s="6">
        <f t="shared" si="2"/>
        <v>2635.7999999999997</v>
      </c>
      <c r="H67" s="6">
        <f t="shared" si="3"/>
        <v>35583.300000000003</v>
      </c>
    </row>
    <row r="68" spans="1:8" x14ac:dyDescent="0.25">
      <c r="A68" s="1"/>
      <c r="B68" s="1" t="s">
        <v>18</v>
      </c>
      <c r="C68" s="1" t="s">
        <v>62</v>
      </c>
      <c r="D68" s="1">
        <v>21361</v>
      </c>
      <c r="E68" s="6">
        <f t="shared" si="0"/>
        <v>6408.3</v>
      </c>
      <c r="F68" s="6">
        <f t="shared" si="1"/>
        <v>4272.2</v>
      </c>
      <c r="G68" s="6">
        <f t="shared" si="2"/>
        <v>2563.3199999999997</v>
      </c>
      <c r="H68" s="6">
        <f t="shared" si="3"/>
        <v>34604.82</v>
      </c>
    </row>
    <row r="69" spans="1:8" x14ac:dyDescent="0.25">
      <c r="A69" s="1"/>
      <c r="B69" s="1" t="s">
        <v>18</v>
      </c>
      <c r="C69" s="1" t="s">
        <v>2</v>
      </c>
      <c r="D69" s="1">
        <v>21575</v>
      </c>
      <c r="E69" s="6">
        <f t="shared" ref="E69:E119" si="4">D69*30%</f>
        <v>6472.5</v>
      </c>
      <c r="F69" s="6">
        <f t="shared" ref="F69:F119" si="5">D69*20%</f>
        <v>4315</v>
      </c>
      <c r="G69" s="6">
        <f t="shared" ref="G69:G119" si="6">D69*12%</f>
        <v>2589</v>
      </c>
      <c r="H69" s="6">
        <f t="shared" ref="H69:H119" si="7">SUM(D69:G69)</f>
        <v>34951.5</v>
      </c>
    </row>
    <row r="70" spans="1:8" x14ac:dyDescent="0.25">
      <c r="A70" s="1"/>
      <c r="B70" s="1" t="s">
        <v>18</v>
      </c>
      <c r="C70" s="1" t="s">
        <v>61</v>
      </c>
      <c r="D70" s="1">
        <v>19753</v>
      </c>
      <c r="E70" s="6">
        <f t="shared" si="4"/>
        <v>5925.9</v>
      </c>
      <c r="F70" s="6">
        <f t="shared" si="5"/>
        <v>3950.6000000000004</v>
      </c>
      <c r="G70" s="6">
        <f t="shared" si="6"/>
        <v>2370.36</v>
      </c>
      <c r="H70" s="6">
        <f t="shared" si="7"/>
        <v>31999.86</v>
      </c>
    </row>
    <row r="71" spans="1:8" x14ac:dyDescent="0.25">
      <c r="A71" s="1"/>
      <c r="B71" s="1" t="s">
        <v>18</v>
      </c>
      <c r="C71" s="1" t="s">
        <v>5</v>
      </c>
      <c r="D71" s="1">
        <v>24035</v>
      </c>
      <c r="E71" s="6">
        <f t="shared" si="4"/>
        <v>7210.5</v>
      </c>
      <c r="F71" s="6">
        <f t="shared" si="5"/>
        <v>4807</v>
      </c>
      <c r="G71" s="6">
        <f t="shared" si="6"/>
        <v>2884.2</v>
      </c>
      <c r="H71" s="6">
        <f t="shared" si="7"/>
        <v>38936.699999999997</v>
      </c>
    </row>
    <row r="72" spans="1:8" x14ac:dyDescent="0.25">
      <c r="A72" s="1"/>
      <c r="B72" s="1" t="s">
        <v>18</v>
      </c>
      <c r="C72" s="1" t="s">
        <v>62</v>
      </c>
      <c r="D72" s="1">
        <v>25492</v>
      </c>
      <c r="E72" s="6">
        <f t="shared" si="4"/>
        <v>7647.5999999999995</v>
      </c>
      <c r="F72" s="6">
        <f t="shared" si="5"/>
        <v>5098.4000000000005</v>
      </c>
      <c r="G72" s="6">
        <f t="shared" si="6"/>
        <v>3059.04</v>
      </c>
      <c r="H72" s="6">
        <f t="shared" si="7"/>
        <v>41297.040000000001</v>
      </c>
    </row>
    <row r="73" spans="1:8" x14ac:dyDescent="0.25">
      <c r="A73" s="1"/>
      <c r="B73" s="1" t="s">
        <v>18</v>
      </c>
      <c r="C73" s="1" t="s">
        <v>63</v>
      </c>
      <c r="D73" s="1">
        <v>20823</v>
      </c>
      <c r="E73" s="6">
        <f t="shared" si="4"/>
        <v>6246.9</v>
      </c>
      <c r="F73" s="6">
        <f t="shared" si="5"/>
        <v>4164.6000000000004</v>
      </c>
      <c r="G73" s="6">
        <f t="shared" si="6"/>
        <v>2498.7599999999998</v>
      </c>
      <c r="H73" s="6">
        <f t="shared" si="7"/>
        <v>33733.26</v>
      </c>
    </row>
    <row r="74" spans="1:8" x14ac:dyDescent="0.25">
      <c r="A74" s="1"/>
      <c r="B74" s="1" t="s">
        <v>18</v>
      </c>
      <c r="C74" s="1" t="s">
        <v>2</v>
      </c>
      <c r="D74" s="1">
        <v>26000</v>
      </c>
      <c r="E74" s="6">
        <f t="shared" si="4"/>
        <v>7800</v>
      </c>
      <c r="F74" s="6">
        <f t="shared" si="5"/>
        <v>5200</v>
      </c>
      <c r="G74" s="6">
        <f t="shared" si="6"/>
        <v>3120</v>
      </c>
      <c r="H74" s="6">
        <f t="shared" si="7"/>
        <v>42120</v>
      </c>
    </row>
    <row r="75" spans="1:8" x14ac:dyDescent="0.25">
      <c r="A75" s="1"/>
      <c r="B75" s="1" t="s">
        <v>18</v>
      </c>
      <c r="C75" s="1" t="s">
        <v>2</v>
      </c>
      <c r="D75" s="1">
        <v>20933</v>
      </c>
      <c r="E75" s="6">
        <f t="shared" si="4"/>
        <v>6279.9</v>
      </c>
      <c r="F75" s="6">
        <f t="shared" si="5"/>
        <v>4186.6000000000004</v>
      </c>
      <c r="G75" s="6">
        <f t="shared" si="6"/>
        <v>2511.96</v>
      </c>
      <c r="H75" s="6">
        <f t="shared" si="7"/>
        <v>33911.46</v>
      </c>
    </row>
    <row r="76" spans="1:8" x14ac:dyDescent="0.25">
      <c r="A76" s="1"/>
      <c r="B76" s="1" t="s">
        <v>18</v>
      </c>
      <c r="C76" s="1" t="s">
        <v>2</v>
      </c>
      <c r="D76" s="1">
        <v>20975</v>
      </c>
      <c r="E76" s="6">
        <f t="shared" si="4"/>
        <v>6292.5</v>
      </c>
      <c r="F76" s="6">
        <f t="shared" si="5"/>
        <v>4195</v>
      </c>
      <c r="G76" s="6">
        <f t="shared" si="6"/>
        <v>2517</v>
      </c>
      <c r="H76" s="6">
        <f t="shared" si="7"/>
        <v>33979.5</v>
      </c>
    </row>
    <row r="77" spans="1:8" x14ac:dyDescent="0.25">
      <c r="A77" s="1"/>
      <c r="B77" s="1" t="s">
        <v>18</v>
      </c>
      <c r="C77" s="1" t="s">
        <v>63</v>
      </c>
      <c r="D77" s="1">
        <v>20851</v>
      </c>
      <c r="E77" s="6">
        <f t="shared" si="4"/>
        <v>6255.3</v>
      </c>
      <c r="F77" s="6">
        <f t="shared" si="5"/>
        <v>4170.2</v>
      </c>
      <c r="G77" s="6">
        <f t="shared" si="6"/>
        <v>2502.12</v>
      </c>
      <c r="H77" s="6">
        <f t="shared" si="7"/>
        <v>33778.620000000003</v>
      </c>
    </row>
    <row r="78" spans="1:8" x14ac:dyDescent="0.25">
      <c r="A78" s="1"/>
      <c r="B78" s="1" t="s">
        <v>18</v>
      </c>
      <c r="C78" s="1" t="s">
        <v>61</v>
      </c>
      <c r="D78" s="1">
        <v>19577</v>
      </c>
      <c r="E78" s="6">
        <f t="shared" si="4"/>
        <v>5873.0999999999995</v>
      </c>
      <c r="F78" s="6">
        <f t="shared" si="5"/>
        <v>3915.4</v>
      </c>
      <c r="G78" s="6">
        <f t="shared" si="6"/>
        <v>2349.2399999999998</v>
      </c>
      <c r="H78" s="6">
        <f t="shared" si="7"/>
        <v>31714.739999999998</v>
      </c>
    </row>
    <row r="79" spans="1:8" x14ac:dyDescent="0.25">
      <c r="A79" s="1"/>
      <c r="B79" s="1" t="s">
        <v>18</v>
      </c>
      <c r="C79" s="1" t="s">
        <v>62</v>
      </c>
      <c r="D79" s="1">
        <v>21713</v>
      </c>
      <c r="E79" s="6">
        <f t="shared" si="4"/>
        <v>6513.9</v>
      </c>
      <c r="F79" s="6">
        <f t="shared" si="5"/>
        <v>4342.6000000000004</v>
      </c>
      <c r="G79" s="6">
        <f t="shared" si="6"/>
        <v>2605.56</v>
      </c>
      <c r="H79" s="6">
        <f t="shared" si="7"/>
        <v>35175.06</v>
      </c>
    </row>
    <row r="80" spans="1:8" x14ac:dyDescent="0.25">
      <c r="A80" s="1"/>
      <c r="B80" s="1" t="s">
        <v>18</v>
      </c>
      <c r="C80" s="1" t="s">
        <v>3</v>
      </c>
      <c r="D80" s="1">
        <v>19240</v>
      </c>
      <c r="E80" s="6">
        <f t="shared" si="4"/>
        <v>5772</v>
      </c>
      <c r="F80" s="6">
        <f t="shared" si="5"/>
        <v>3848</v>
      </c>
      <c r="G80" s="6">
        <f t="shared" si="6"/>
        <v>2308.7999999999997</v>
      </c>
      <c r="H80" s="6">
        <f t="shared" si="7"/>
        <v>31168.799999999999</v>
      </c>
    </row>
    <row r="81" spans="1:8" x14ac:dyDescent="0.25">
      <c r="A81" s="1"/>
      <c r="B81" s="1" t="s">
        <v>18</v>
      </c>
      <c r="C81" s="1" t="s">
        <v>5</v>
      </c>
      <c r="D81" s="1">
        <v>20079</v>
      </c>
      <c r="E81" s="6">
        <f t="shared" si="4"/>
        <v>6023.7</v>
      </c>
      <c r="F81" s="6">
        <f t="shared" si="5"/>
        <v>4015.8</v>
      </c>
      <c r="G81" s="6">
        <f t="shared" si="6"/>
        <v>2409.48</v>
      </c>
      <c r="H81" s="6">
        <f t="shared" si="7"/>
        <v>32527.98</v>
      </c>
    </row>
    <row r="82" spans="1:8" x14ac:dyDescent="0.25">
      <c r="A82" s="1"/>
      <c r="B82" s="1" t="s">
        <v>18</v>
      </c>
      <c r="C82" s="1" t="s">
        <v>2</v>
      </c>
      <c r="D82" s="1">
        <v>25258</v>
      </c>
      <c r="E82" s="6">
        <f t="shared" si="4"/>
        <v>7577.4</v>
      </c>
      <c r="F82" s="6">
        <f t="shared" si="5"/>
        <v>5051.6000000000004</v>
      </c>
      <c r="G82" s="6">
        <f t="shared" si="6"/>
        <v>3030.96</v>
      </c>
      <c r="H82" s="6">
        <f t="shared" si="7"/>
        <v>40917.96</v>
      </c>
    </row>
    <row r="83" spans="1:8" x14ac:dyDescent="0.25">
      <c r="A83" s="1"/>
      <c r="B83" s="1" t="s">
        <v>18</v>
      </c>
      <c r="C83" s="1" t="s">
        <v>3</v>
      </c>
      <c r="D83" s="1">
        <v>21433</v>
      </c>
      <c r="E83" s="6">
        <f t="shared" si="4"/>
        <v>6429.9</v>
      </c>
      <c r="F83" s="6">
        <f t="shared" si="5"/>
        <v>4286.6000000000004</v>
      </c>
      <c r="G83" s="6">
        <f t="shared" si="6"/>
        <v>2571.96</v>
      </c>
      <c r="H83" s="6">
        <f t="shared" si="7"/>
        <v>34721.46</v>
      </c>
    </row>
    <row r="84" spans="1:8" x14ac:dyDescent="0.25">
      <c r="A84" s="1"/>
      <c r="B84" s="1" t="s">
        <v>18</v>
      </c>
      <c r="C84" s="1" t="s">
        <v>61</v>
      </c>
      <c r="D84" s="1">
        <v>22308</v>
      </c>
      <c r="E84" s="6">
        <f t="shared" si="4"/>
        <v>6692.4</v>
      </c>
      <c r="F84" s="6">
        <f t="shared" si="5"/>
        <v>4461.6000000000004</v>
      </c>
      <c r="G84" s="6">
        <f t="shared" si="6"/>
        <v>2676.96</v>
      </c>
      <c r="H84" s="6">
        <f t="shared" si="7"/>
        <v>36138.959999999999</v>
      </c>
    </row>
    <row r="85" spans="1:8" x14ac:dyDescent="0.25">
      <c r="A85" s="1"/>
      <c r="B85" s="1" t="s">
        <v>18</v>
      </c>
      <c r="C85" s="1" t="s">
        <v>61</v>
      </c>
      <c r="D85" s="1">
        <v>24125</v>
      </c>
      <c r="E85" s="6">
        <f t="shared" si="4"/>
        <v>7237.5</v>
      </c>
      <c r="F85" s="6">
        <f t="shared" si="5"/>
        <v>4825</v>
      </c>
      <c r="G85" s="6">
        <f t="shared" si="6"/>
        <v>2895</v>
      </c>
      <c r="H85" s="6">
        <f t="shared" si="7"/>
        <v>39082.5</v>
      </c>
    </row>
    <row r="86" spans="1:8" x14ac:dyDescent="0.25">
      <c r="A86" s="1"/>
      <c r="B86" s="1" t="s">
        <v>18</v>
      </c>
      <c r="C86" s="1" t="s">
        <v>61</v>
      </c>
      <c r="D86" s="1">
        <v>20991</v>
      </c>
      <c r="E86" s="6">
        <f t="shared" si="4"/>
        <v>6297.3</v>
      </c>
      <c r="F86" s="6">
        <f t="shared" si="5"/>
        <v>4198.2</v>
      </c>
      <c r="G86" s="6">
        <f t="shared" si="6"/>
        <v>2518.92</v>
      </c>
      <c r="H86" s="6">
        <f t="shared" si="7"/>
        <v>34005.42</v>
      </c>
    </row>
    <row r="87" spans="1:8" x14ac:dyDescent="0.25">
      <c r="A87" s="1"/>
      <c r="B87" s="1" t="s">
        <v>18</v>
      </c>
      <c r="C87" s="1" t="s">
        <v>62</v>
      </c>
      <c r="D87" s="1">
        <v>23085</v>
      </c>
      <c r="E87" s="6">
        <f t="shared" si="4"/>
        <v>6925.5</v>
      </c>
      <c r="F87" s="6">
        <f t="shared" si="5"/>
        <v>4617</v>
      </c>
      <c r="G87" s="6">
        <f t="shared" si="6"/>
        <v>2770.2</v>
      </c>
      <c r="H87" s="6">
        <f t="shared" si="7"/>
        <v>37397.699999999997</v>
      </c>
    </row>
    <row r="88" spans="1:8" x14ac:dyDescent="0.25">
      <c r="A88" s="1"/>
      <c r="B88" s="1" t="s">
        <v>18</v>
      </c>
      <c r="C88" s="1" t="s">
        <v>3</v>
      </c>
      <c r="D88" s="1">
        <v>21978</v>
      </c>
      <c r="E88" s="6">
        <f t="shared" si="4"/>
        <v>6593.4</v>
      </c>
      <c r="F88" s="6">
        <f t="shared" si="5"/>
        <v>4395.6000000000004</v>
      </c>
      <c r="G88" s="6">
        <f t="shared" si="6"/>
        <v>2637.36</v>
      </c>
      <c r="H88" s="6">
        <f t="shared" si="7"/>
        <v>35604.36</v>
      </c>
    </row>
    <row r="89" spans="1:8" x14ac:dyDescent="0.25">
      <c r="A89" s="1"/>
      <c r="B89" s="1" t="s">
        <v>18</v>
      </c>
      <c r="C89" s="1" t="s">
        <v>2</v>
      </c>
      <c r="D89" s="1">
        <v>21400</v>
      </c>
      <c r="E89" s="6">
        <f t="shared" si="4"/>
        <v>6420</v>
      </c>
      <c r="F89" s="6">
        <f t="shared" si="5"/>
        <v>4280</v>
      </c>
      <c r="G89" s="6">
        <f t="shared" si="6"/>
        <v>2568</v>
      </c>
      <c r="H89" s="6">
        <f t="shared" si="7"/>
        <v>34668</v>
      </c>
    </row>
    <row r="90" spans="1:8" x14ac:dyDescent="0.25">
      <c r="A90" s="1"/>
      <c r="B90" s="1" t="s">
        <v>18</v>
      </c>
      <c r="C90" s="1" t="s">
        <v>3</v>
      </c>
      <c r="D90" s="1">
        <v>23039</v>
      </c>
      <c r="E90" s="6">
        <f t="shared" si="4"/>
        <v>6911.7</v>
      </c>
      <c r="F90" s="6">
        <f t="shared" si="5"/>
        <v>4607.8</v>
      </c>
      <c r="G90" s="6">
        <f t="shared" si="6"/>
        <v>2764.68</v>
      </c>
      <c r="H90" s="6">
        <f t="shared" si="7"/>
        <v>37323.18</v>
      </c>
    </row>
    <row r="91" spans="1:8" x14ac:dyDescent="0.25">
      <c r="A91" s="1"/>
      <c r="B91" s="1" t="s">
        <v>18</v>
      </c>
      <c r="C91" s="1" t="s">
        <v>61</v>
      </c>
      <c r="D91" s="1">
        <v>18760</v>
      </c>
      <c r="E91" s="6">
        <f t="shared" si="4"/>
        <v>5628</v>
      </c>
      <c r="F91" s="6">
        <f t="shared" si="5"/>
        <v>3752</v>
      </c>
      <c r="G91" s="6">
        <f t="shared" si="6"/>
        <v>2251.1999999999998</v>
      </c>
      <c r="H91" s="6">
        <f t="shared" si="7"/>
        <v>30391.200000000001</v>
      </c>
    </row>
    <row r="92" spans="1:8" x14ac:dyDescent="0.25">
      <c r="A92" s="1"/>
      <c r="B92" s="1" t="s">
        <v>18</v>
      </c>
      <c r="C92" s="1" t="s">
        <v>63</v>
      </c>
      <c r="D92" s="1">
        <v>21187</v>
      </c>
      <c r="E92" s="6">
        <f t="shared" si="4"/>
        <v>6356.0999999999995</v>
      </c>
      <c r="F92" s="6">
        <f t="shared" si="5"/>
        <v>4237.4000000000005</v>
      </c>
      <c r="G92" s="6">
        <f t="shared" si="6"/>
        <v>2542.44</v>
      </c>
      <c r="H92" s="6">
        <f t="shared" si="7"/>
        <v>34322.94</v>
      </c>
    </row>
    <row r="93" spans="1:8" x14ac:dyDescent="0.25">
      <c r="A93" s="1"/>
      <c r="B93" s="1" t="s">
        <v>18</v>
      </c>
      <c r="C93" s="1" t="s">
        <v>63</v>
      </c>
      <c r="D93" s="1">
        <v>21664</v>
      </c>
      <c r="E93" s="6">
        <f t="shared" si="4"/>
        <v>6499.2</v>
      </c>
      <c r="F93" s="6">
        <f t="shared" si="5"/>
        <v>4332.8</v>
      </c>
      <c r="G93" s="6">
        <f t="shared" si="6"/>
        <v>2599.6799999999998</v>
      </c>
      <c r="H93" s="6">
        <f t="shared" si="7"/>
        <v>35095.68</v>
      </c>
    </row>
    <row r="94" spans="1:8" x14ac:dyDescent="0.25">
      <c r="A94" s="1"/>
      <c r="B94" s="1" t="s">
        <v>18</v>
      </c>
      <c r="C94" s="1" t="s">
        <v>61</v>
      </c>
      <c r="D94" s="1">
        <v>19084</v>
      </c>
      <c r="E94" s="6">
        <f t="shared" si="4"/>
        <v>5725.2</v>
      </c>
      <c r="F94" s="6">
        <f t="shared" si="5"/>
        <v>3816.8</v>
      </c>
      <c r="G94" s="6">
        <f t="shared" si="6"/>
        <v>2290.08</v>
      </c>
      <c r="H94" s="6">
        <f t="shared" si="7"/>
        <v>30916.080000000002</v>
      </c>
    </row>
    <row r="95" spans="1:8" x14ac:dyDescent="0.25">
      <c r="A95" s="1"/>
      <c r="B95" s="1" t="s">
        <v>18</v>
      </c>
      <c r="C95" s="1" t="s">
        <v>61</v>
      </c>
      <c r="D95" s="1">
        <v>18712</v>
      </c>
      <c r="E95" s="6">
        <f t="shared" si="4"/>
        <v>5613.5999999999995</v>
      </c>
      <c r="F95" s="6">
        <f t="shared" si="5"/>
        <v>3742.4</v>
      </c>
      <c r="G95" s="6">
        <f t="shared" si="6"/>
        <v>2245.44</v>
      </c>
      <c r="H95" s="6">
        <f t="shared" si="7"/>
        <v>30313.439999999999</v>
      </c>
    </row>
    <row r="96" spans="1:8" x14ac:dyDescent="0.25">
      <c r="A96" s="1"/>
      <c r="B96" s="1" t="s">
        <v>18</v>
      </c>
      <c r="C96" s="1" t="s">
        <v>61</v>
      </c>
      <c r="D96" s="1">
        <v>21091</v>
      </c>
      <c r="E96" s="6">
        <f t="shared" si="4"/>
        <v>6327.3</v>
      </c>
      <c r="F96" s="6">
        <f t="shared" si="5"/>
        <v>4218.2</v>
      </c>
      <c r="G96" s="6">
        <f t="shared" si="6"/>
        <v>2530.92</v>
      </c>
      <c r="H96" s="6">
        <f t="shared" si="7"/>
        <v>34167.42</v>
      </c>
    </row>
    <row r="97" spans="1:8" x14ac:dyDescent="0.25">
      <c r="A97" s="1"/>
      <c r="B97" s="1" t="s">
        <v>18</v>
      </c>
      <c r="C97" s="1" t="s">
        <v>61</v>
      </c>
      <c r="D97" s="1">
        <v>18062</v>
      </c>
      <c r="E97" s="6">
        <f t="shared" si="4"/>
        <v>5418.5999999999995</v>
      </c>
      <c r="F97" s="6">
        <f t="shared" si="5"/>
        <v>3612.4</v>
      </c>
      <c r="G97" s="6">
        <f t="shared" si="6"/>
        <v>2167.44</v>
      </c>
      <c r="H97" s="6">
        <f t="shared" si="7"/>
        <v>29260.44</v>
      </c>
    </row>
    <row r="98" spans="1:8" x14ac:dyDescent="0.25">
      <c r="A98" s="1"/>
      <c r="B98" s="1" t="s">
        <v>18</v>
      </c>
      <c r="C98" s="1" t="s">
        <v>2</v>
      </c>
      <c r="D98" s="1">
        <v>21333</v>
      </c>
      <c r="E98" s="6">
        <f t="shared" si="4"/>
        <v>6399.9</v>
      </c>
      <c r="F98" s="6">
        <f t="shared" si="5"/>
        <v>4266.6000000000004</v>
      </c>
      <c r="G98" s="6">
        <f t="shared" si="6"/>
        <v>2559.96</v>
      </c>
      <c r="H98" s="6">
        <f t="shared" si="7"/>
        <v>34559.46</v>
      </c>
    </row>
    <row r="99" spans="1:8" x14ac:dyDescent="0.25">
      <c r="A99" s="1"/>
      <c r="B99" s="1" t="s">
        <v>18</v>
      </c>
      <c r="C99" s="1" t="s">
        <v>2</v>
      </c>
      <c r="D99" s="1">
        <v>24609</v>
      </c>
      <c r="E99" s="6">
        <f t="shared" si="4"/>
        <v>7382.7</v>
      </c>
      <c r="F99" s="6">
        <f t="shared" si="5"/>
        <v>4921.8</v>
      </c>
      <c r="G99" s="6">
        <f t="shared" si="6"/>
        <v>2953.08</v>
      </c>
      <c r="H99" s="6">
        <f t="shared" si="7"/>
        <v>39866.58</v>
      </c>
    </row>
    <row r="100" spans="1:8" x14ac:dyDescent="0.25">
      <c r="A100" s="1"/>
      <c r="B100" s="1" t="s">
        <v>18</v>
      </c>
      <c r="C100" s="1" t="s">
        <v>62</v>
      </c>
      <c r="D100" s="1">
        <v>25742</v>
      </c>
      <c r="E100" s="6">
        <f t="shared" si="4"/>
        <v>7722.5999999999995</v>
      </c>
      <c r="F100" s="6">
        <f t="shared" si="5"/>
        <v>5148.4000000000005</v>
      </c>
      <c r="G100" s="6">
        <f t="shared" si="6"/>
        <v>3089.04</v>
      </c>
      <c r="H100" s="6">
        <f t="shared" si="7"/>
        <v>41702.04</v>
      </c>
    </row>
    <row r="101" spans="1:8" x14ac:dyDescent="0.25">
      <c r="A101" s="1"/>
      <c r="B101" s="1" t="s">
        <v>18</v>
      </c>
      <c r="C101" s="1" t="s">
        <v>3</v>
      </c>
      <c r="D101" s="1">
        <v>23396</v>
      </c>
      <c r="E101" s="6">
        <f t="shared" si="4"/>
        <v>7018.8</v>
      </c>
      <c r="F101" s="6">
        <f t="shared" si="5"/>
        <v>4679.2</v>
      </c>
      <c r="G101" s="6">
        <f t="shared" si="6"/>
        <v>2807.52</v>
      </c>
      <c r="H101" s="6">
        <f t="shared" si="7"/>
        <v>37901.519999999997</v>
      </c>
    </row>
    <row r="102" spans="1:8" x14ac:dyDescent="0.25">
      <c r="A102" s="1"/>
      <c r="B102" s="1" t="s">
        <v>18</v>
      </c>
      <c r="C102" s="1" t="s">
        <v>62</v>
      </c>
      <c r="D102" s="1">
        <v>19865</v>
      </c>
      <c r="E102" s="6">
        <f t="shared" si="4"/>
        <v>5959.5</v>
      </c>
      <c r="F102" s="6">
        <f t="shared" si="5"/>
        <v>3973</v>
      </c>
      <c r="G102" s="6">
        <f t="shared" si="6"/>
        <v>2383.7999999999997</v>
      </c>
      <c r="H102" s="6">
        <f t="shared" si="7"/>
        <v>32181.3</v>
      </c>
    </row>
    <row r="103" spans="1:8" x14ac:dyDescent="0.25">
      <c r="A103" s="1"/>
      <c r="B103" s="1" t="s">
        <v>59</v>
      </c>
      <c r="C103" s="1" t="s">
        <v>61</v>
      </c>
      <c r="D103" s="1">
        <v>47439</v>
      </c>
      <c r="E103" s="6">
        <f t="shared" si="4"/>
        <v>14231.699999999999</v>
      </c>
      <c r="F103" s="6">
        <f t="shared" si="5"/>
        <v>9487.8000000000011</v>
      </c>
      <c r="G103" s="6">
        <f t="shared" si="6"/>
        <v>5692.6799999999994</v>
      </c>
      <c r="H103" s="6">
        <f t="shared" si="7"/>
        <v>76851.179999999993</v>
      </c>
    </row>
    <row r="104" spans="1:8" x14ac:dyDescent="0.25">
      <c r="A104" s="1"/>
      <c r="B104" s="1" t="s">
        <v>59</v>
      </c>
      <c r="C104" s="1" t="s">
        <v>5</v>
      </c>
      <c r="D104" s="1">
        <v>42919</v>
      </c>
      <c r="E104" s="6">
        <f t="shared" si="4"/>
        <v>12875.699999999999</v>
      </c>
      <c r="F104" s="6">
        <f t="shared" si="5"/>
        <v>8583.8000000000011</v>
      </c>
      <c r="G104" s="6">
        <f t="shared" si="6"/>
        <v>5150.28</v>
      </c>
      <c r="H104" s="6">
        <f t="shared" si="7"/>
        <v>69528.78</v>
      </c>
    </row>
    <row r="105" spans="1:8" x14ac:dyDescent="0.25">
      <c r="A105" s="1"/>
      <c r="B105" s="1" t="s">
        <v>59</v>
      </c>
      <c r="C105" s="1" t="s">
        <v>5</v>
      </c>
      <c r="D105" s="1">
        <v>45039</v>
      </c>
      <c r="E105" s="6">
        <f t="shared" si="4"/>
        <v>13511.699999999999</v>
      </c>
      <c r="F105" s="6">
        <f t="shared" si="5"/>
        <v>9007.8000000000011</v>
      </c>
      <c r="G105" s="6">
        <f t="shared" si="6"/>
        <v>5404.6799999999994</v>
      </c>
      <c r="H105" s="6">
        <f t="shared" si="7"/>
        <v>72963.179999999993</v>
      </c>
    </row>
    <row r="106" spans="1:8" x14ac:dyDescent="0.25">
      <c r="A106" s="1"/>
      <c r="B106" s="1" t="s">
        <v>59</v>
      </c>
      <c r="C106" s="1" t="s">
        <v>61</v>
      </c>
      <c r="D106" s="1">
        <v>49984</v>
      </c>
      <c r="E106" s="6">
        <f t="shared" si="4"/>
        <v>14995.199999999999</v>
      </c>
      <c r="F106" s="6">
        <f t="shared" si="5"/>
        <v>9996.8000000000011</v>
      </c>
      <c r="G106" s="6">
        <f t="shared" si="6"/>
        <v>5998.08</v>
      </c>
      <c r="H106" s="6">
        <f t="shared" si="7"/>
        <v>80974.080000000002</v>
      </c>
    </row>
    <row r="107" spans="1:8" x14ac:dyDescent="0.25">
      <c r="A107" s="1"/>
      <c r="B107" s="1" t="s">
        <v>59</v>
      </c>
      <c r="C107" s="1" t="s">
        <v>61</v>
      </c>
      <c r="D107" s="1">
        <v>47338</v>
      </c>
      <c r="E107" s="6">
        <f t="shared" si="4"/>
        <v>14201.4</v>
      </c>
      <c r="F107" s="6">
        <f t="shared" si="5"/>
        <v>9467.6</v>
      </c>
      <c r="G107" s="6">
        <f t="shared" si="6"/>
        <v>5680.5599999999995</v>
      </c>
      <c r="H107" s="6">
        <f t="shared" si="7"/>
        <v>76687.56</v>
      </c>
    </row>
    <row r="108" spans="1:8" x14ac:dyDescent="0.25">
      <c r="A108" s="1"/>
      <c r="B108" s="1" t="s">
        <v>59</v>
      </c>
      <c r="C108" s="1" t="s">
        <v>61</v>
      </c>
      <c r="D108" s="1">
        <v>39615</v>
      </c>
      <c r="E108" s="6">
        <f t="shared" si="4"/>
        <v>11884.5</v>
      </c>
      <c r="F108" s="6">
        <f t="shared" si="5"/>
        <v>7923</v>
      </c>
      <c r="G108" s="6">
        <f t="shared" si="6"/>
        <v>4753.8</v>
      </c>
      <c r="H108" s="6">
        <f t="shared" si="7"/>
        <v>64176.3</v>
      </c>
    </row>
    <row r="109" spans="1:8" x14ac:dyDescent="0.25">
      <c r="A109" s="1"/>
      <c r="B109" s="1" t="s">
        <v>59</v>
      </c>
      <c r="C109" s="1" t="s">
        <v>5</v>
      </c>
      <c r="D109" s="1">
        <v>37270</v>
      </c>
      <c r="E109" s="6">
        <f t="shared" si="4"/>
        <v>11181</v>
      </c>
      <c r="F109" s="6">
        <f t="shared" si="5"/>
        <v>7454</v>
      </c>
      <c r="G109" s="6">
        <f t="shared" si="6"/>
        <v>4472.3999999999996</v>
      </c>
      <c r="H109" s="6">
        <f t="shared" si="7"/>
        <v>60377.4</v>
      </c>
    </row>
    <row r="110" spans="1:8" x14ac:dyDescent="0.25">
      <c r="A110" s="1"/>
      <c r="B110" s="1" t="s">
        <v>59</v>
      </c>
      <c r="C110" s="1" t="s">
        <v>63</v>
      </c>
      <c r="D110" s="1">
        <v>35111</v>
      </c>
      <c r="E110" s="6">
        <f t="shared" si="4"/>
        <v>10533.3</v>
      </c>
      <c r="F110" s="6">
        <f t="shared" si="5"/>
        <v>7022.2000000000007</v>
      </c>
      <c r="G110" s="6">
        <f t="shared" si="6"/>
        <v>4213.32</v>
      </c>
      <c r="H110" s="6">
        <f t="shared" si="7"/>
        <v>56879.82</v>
      </c>
    </row>
    <row r="111" spans="1:8" x14ac:dyDescent="0.25">
      <c r="A111" s="1"/>
      <c r="B111" s="1" t="s">
        <v>59</v>
      </c>
      <c r="C111" s="1" t="s">
        <v>61</v>
      </c>
      <c r="D111" s="1">
        <v>42459</v>
      </c>
      <c r="E111" s="6">
        <f t="shared" si="4"/>
        <v>12737.699999999999</v>
      </c>
      <c r="F111" s="6">
        <f t="shared" si="5"/>
        <v>8491.8000000000011</v>
      </c>
      <c r="G111" s="6">
        <f t="shared" si="6"/>
        <v>5095.08</v>
      </c>
      <c r="H111" s="6">
        <f t="shared" si="7"/>
        <v>68783.58</v>
      </c>
    </row>
    <row r="112" spans="1:8" x14ac:dyDescent="0.25">
      <c r="A112" s="1"/>
      <c r="B112" s="1" t="s">
        <v>59</v>
      </c>
      <c r="C112" s="1" t="s">
        <v>61</v>
      </c>
      <c r="D112" s="1">
        <v>35971</v>
      </c>
      <c r="E112" s="6">
        <f t="shared" si="4"/>
        <v>10791.3</v>
      </c>
      <c r="F112" s="6">
        <f t="shared" si="5"/>
        <v>7194.2000000000007</v>
      </c>
      <c r="G112" s="6">
        <f t="shared" si="6"/>
        <v>4316.5199999999995</v>
      </c>
      <c r="H112" s="6">
        <f t="shared" si="7"/>
        <v>58273.02</v>
      </c>
    </row>
    <row r="113" spans="1:8" x14ac:dyDescent="0.25">
      <c r="A113" s="1"/>
      <c r="B113" s="1" t="s">
        <v>59</v>
      </c>
      <c r="C113" s="1" t="s">
        <v>3</v>
      </c>
      <c r="D113" s="1">
        <v>36600</v>
      </c>
      <c r="E113" s="6">
        <f t="shared" si="4"/>
        <v>10980</v>
      </c>
      <c r="F113" s="6">
        <f t="shared" si="5"/>
        <v>7320</v>
      </c>
      <c r="G113" s="6">
        <f t="shared" si="6"/>
        <v>4392</v>
      </c>
      <c r="H113" s="6">
        <f t="shared" si="7"/>
        <v>59292</v>
      </c>
    </row>
    <row r="114" spans="1:8" x14ac:dyDescent="0.25">
      <c r="A114" s="1"/>
      <c r="B114" s="1" t="s">
        <v>59</v>
      </c>
      <c r="C114" s="1" t="s">
        <v>61</v>
      </c>
      <c r="D114" s="1">
        <v>48878</v>
      </c>
      <c r="E114" s="6">
        <f t="shared" si="4"/>
        <v>14663.4</v>
      </c>
      <c r="F114" s="6">
        <f t="shared" si="5"/>
        <v>9775.6</v>
      </c>
      <c r="G114" s="6">
        <f t="shared" si="6"/>
        <v>5865.36</v>
      </c>
      <c r="H114" s="6">
        <f t="shared" si="7"/>
        <v>79182.36</v>
      </c>
    </row>
    <row r="115" spans="1:8" x14ac:dyDescent="0.25">
      <c r="A115" s="1"/>
      <c r="B115" s="1" t="s">
        <v>59</v>
      </c>
      <c r="C115" s="1" t="s">
        <v>3</v>
      </c>
      <c r="D115" s="1">
        <v>47449</v>
      </c>
      <c r="E115" s="6">
        <f t="shared" si="4"/>
        <v>14234.699999999999</v>
      </c>
      <c r="F115" s="6">
        <f t="shared" si="5"/>
        <v>9489.8000000000011</v>
      </c>
      <c r="G115" s="6">
        <f t="shared" si="6"/>
        <v>5693.88</v>
      </c>
      <c r="H115" s="6">
        <f t="shared" si="7"/>
        <v>76867.38</v>
      </c>
    </row>
    <row r="116" spans="1:8" x14ac:dyDescent="0.25">
      <c r="A116" s="1"/>
      <c r="B116" s="1" t="s">
        <v>59</v>
      </c>
      <c r="C116" s="1" t="s">
        <v>62</v>
      </c>
      <c r="D116" s="1">
        <v>37477</v>
      </c>
      <c r="E116" s="6">
        <f t="shared" si="4"/>
        <v>11243.1</v>
      </c>
      <c r="F116" s="6">
        <f t="shared" si="5"/>
        <v>7495.4000000000005</v>
      </c>
      <c r="G116" s="6">
        <f t="shared" si="6"/>
        <v>4497.24</v>
      </c>
      <c r="H116" s="6">
        <f t="shared" si="7"/>
        <v>60712.74</v>
      </c>
    </row>
    <row r="117" spans="1:8" x14ac:dyDescent="0.25">
      <c r="A117" s="1"/>
      <c r="B117" s="1" t="s">
        <v>60</v>
      </c>
      <c r="C117" s="1" t="s">
        <v>2</v>
      </c>
      <c r="D117" s="1">
        <v>61778</v>
      </c>
      <c r="E117" s="6">
        <f t="shared" si="4"/>
        <v>18533.399999999998</v>
      </c>
      <c r="F117" s="6">
        <f t="shared" si="5"/>
        <v>12355.6</v>
      </c>
      <c r="G117" s="6">
        <f t="shared" si="6"/>
        <v>7413.36</v>
      </c>
      <c r="H117" s="6">
        <f t="shared" si="7"/>
        <v>100080.36</v>
      </c>
    </row>
    <row r="118" spans="1:8" x14ac:dyDescent="0.25">
      <c r="A118" s="1"/>
      <c r="B118" s="1" t="s">
        <v>60</v>
      </c>
      <c r="C118" s="1" t="s">
        <v>5</v>
      </c>
      <c r="D118" s="1">
        <v>54332</v>
      </c>
      <c r="E118" s="6">
        <f t="shared" si="4"/>
        <v>16299.599999999999</v>
      </c>
      <c r="F118" s="6">
        <f t="shared" si="5"/>
        <v>10866.400000000001</v>
      </c>
      <c r="G118" s="6">
        <f t="shared" si="6"/>
        <v>6519.84</v>
      </c>
      <c r="H118" s="6">
        <f t="shared" si="7"/>
        <v>88017.84</v>
      </c>
    </row>
    <row r="119" spans="1:8" x14ac:dyDescent="0.25">
      <c r="A119" s="1"/>
      <c r="B119" s="1" t="s">
        <v>60</v>
      </c>
      <c r="C119" s="1" t="s">
        <v>5</v>
      </c>
      <c r="D119" s="1">
        <v>79435</v>
      </c>
      <c r="E119" s="6">
        <f t="shared" si="4"/>
        <v>23830.5</v>
      </c>
      <c r="F119" s="6">
        <f t="shared" si="5"/>
        <v>15887</v>
      </c>
      <c r="G119" s="6">
        <f t="shared" si="6"/>
        <v>9532.1999999999989</v>
      </c>
      <c r="H119" s="6">
        <f t="shared" si="7"/>
        <v>128684.7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9BBC-DD03-4C59-A669-37939D72E8E9}">
  <dimension ref="E13"/>
  <sheetViews>
    <sheetView tabSelected="1" workbookViewId="0">
      <selection activeCell="E15" sqref="E15"/>
    </sheetView>
  </sheetViews>
  <sheetFormatPr defaultRowHeight="15" x14ac:dyDescent="0.25"/>
  <cols>
    <col min="5" max="5" width="31" customWidth="1"/>
  </cols>
  <sheetData>
    <row r="13" spans="5:5" x14ac:dyDescent="0.25">
      <c r="E13" t="s">
        <v>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4E7C9E-8714-4F25-BDE3-F95AA35CF3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 With Buttons</vt:lpstr>
      <vt:lpstr>Sheet1</vt:lpstr>
      <vt:lpstr>Sheet3</vt:lpstr>
      <vt:lpstr>Sheet2</vt:lpstr>
      <vt:lpstr>Sheet4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Sengupta</dc:creator>
  <cp:lastModifiedBy>Chandan Sengupta</cp:lastModifiedBy>
  <dcterms:created xsi:type="dcterms:W3CDTF">2015-06-05T18:17:20Z</dcterms:created>
  <dcterms:modified xsi:type="dcterms:W3CDTF">2023-03-12T06:31:18Z</dcterms:modified>
</cp:coreProperties>
</file>